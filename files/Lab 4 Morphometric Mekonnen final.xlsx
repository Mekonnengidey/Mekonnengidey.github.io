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7845" firstSheet="1" activeTab="2"/>
  </bookViews>
  <sheets>
    <sheet name="Sheet5" sheetId="7" r:id="rId1"/>
    <sheet name="Parameterfourmulas" sheetId="2" r:id="rId2"/>
    <sheet name="ArealMorphometricParameters" sheetId="1" r:id="rId3"/>
  </sheets>
  <calcPr calcId="144525"/>
</workbook>
</file>

<file path=xl/calcChain.xml><?xml version="1.0" encoding="utf-8"?>
<calcChain xmlns="http://schemas.openxmlformats.org/spreadsheetml/2006/main">
  <c r="D7" i="1" l="1"/>
  <c r="N5" i="1"/>
  <c r="N6" i="1"/>
  <c r="N4" i="1"/>
  <c r="L5" i="1" l="1"/>
  <c r="L6" i="1"/>
  <c r="L4" i="1"/>
  <c r="K5" i="1"/>
  <c r="K6" i="1"/>
  <c r="K4" i="1"/>
  <c r="I5" i="1"/>
  <c r="I6" i="1"/>
  <c r="I4" i="1"/>
  <c r="G5" i="1"/>
  <c r="O5" i="1" s="1"/>
  <c r="G6" i="1"/>
  <c r="O6" i="1" s="1"/>
  <c r="G4" i="1"/>
  <c r="O4" i="1" s="1"/>
</calcChain>
</file>

<file path=xl/sharedStrings.xml><?xml version="1.0" encoding="utf-8"?>
<sst xmlns="http://schemas.openxmlformats.org/spreadsheetml/2006/main" count="466" uniqueCount="148">
  <si>
    <t>OBJECTID *</t>
  </si>
  <si>
    <t>Shape *</t>
  </si>
  <si>
    <t>Id</t>
  </si>
  <si>
    <t>gridcode</t>
  </si>
  <si>
    <t>Area killometer</t>
  </si>
  <si>
    <t>permeter km</t>
  </si>
  <si>
    <t>COUNT</t>
  </si>
  <si>
    <t>Polygon</t>
  </si>
  <si>
    <t>Parameters</t>
  </si>
  <si>
    <t>Formulae</t>
  </si>
  <si>
    <t>References</t>
  </si>
  <si>
    <t xml:space="preserve">Linear Parameters </t>
  </si>
  <si>
    <t>Stream order (U)</t>
  </si>
  <si>
    <t>Hierarchical rank</t>
  </si>
  <si>
    <t>Strahler (1964)</t>
  </si>
  <si>
    <t>Number of Streams (Nu)</t>
  </si>
  <si>
    <t>Nu= U1 +U2….U5</t>
  </si>
  <si>
    <t xml:space="preserve">Stream length in km (Lu)                    </t>
  </si>
  <si>
    <t>Lu= L1+L2….+L5</t>
  </si>
  <si>
    <t>Horton (1945)</t>
  </si>
  <si>
    <t>Drainage density (Dd)</t>
  </si>
  <si>
    <t>Dd = L/A Dd; L= length of stream channel Dd = area of drainage basin</t>
  </si>
  <si>
    <t xml:space="preserve">Stream frequency (Fs) </t>
  </si>
  <si>
    <t>Nu/A where, Fs = stream frequency, Nu = total no. of streams of all orders, A = area of basin</t>
  </si>
  <si>
    <t>Areal and Relief Aspects</t>
  </si>
  <si>
    <r>
      <t>Area in km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(A)</t>
    </r>
  </si>
  <si>
    <t xml:space="preserve">Area Calculation </t>
  </si>
  <si>
    <t>Schumm (1956)</t>
  </si>
  <si>
    <t>Perimeter in km (P)</t>
  </si>
  <si>
    <t>Perimeter Calculation</t>
  </si>
  <si>
    <t>Form factor (Ff)</t>
  </si>
  <si>
    <r>
      <t>Ff = A /Lb</t>
    </r>
    <r>
      <rPr>
        <vertAlign val="superscript"/>
        <sz val="12"/>
        <color theme="1"/>
        <rFont val="Times New Roman"/>
        <family val="1"/>
      </rPr>
      <t>2</t>
    </r>
  </si>
  <si>
    <t>Basin relief (Bh)</t>
  </si>
  <si>
    <t>Bh = hmax – hmax Bh maximum vertical distance between the lowest and the highest points of a sub basin</t>
  </si>
  <si>
    <t>Hadley and Schumm,  (1961)</t>
  </si>
  <si>
    <t>Relief ratio (Rh)</t>
  </si>
  <si>
    <t>Rh = H / Lb, , H = total relief of the basin in km , Lb = basin length</t>
  </si>
  <si>
    <t>Ruggedness number (Rn)</t>
  </si>
  <si>
    <t>Bh × Dd, Rn was calculated as the product of the basin relief and its drainage density</t>
  </si>
  <si>
    <t>A</t>
  </si>
  <si>
    <t>B</t>
  </si>
  <si>
    <t>C</t>
  </si>
  <si>
    <t>Join_Count</t>
  </si>
  <si>
    <t>TARGET_FID</t>
  </si>
  <si>
    <t>MaxFlowLenKM</t>
  </si>
  <si>
    <t>TotalStreamLength</t>
  </si>
  <si>
    <t>temp</t>
  </si>
  <si>
    <t>arcid</t>
  </si>
  <si>
    <t>grid_code</t>
  </si>
  <si>
    <t>WS_sumOfStreamLength</t>
  </si>
  <si>
    <t>WSstreamcount</t>
  </si>
  <si>
    <t>&lt;Null&gt;</t>
  </si>
  <si>
    <t>spatialjoin</t>
  </si>
  <si>
    <t>sw1</t>
  </si>
  <si>
    <t>sw2</t>
  </si>
  <si>
    <t>sw3</t>
  </si>
  <si>
    <t xml:space="preserve">Drainage density (Dd) Dd = Lu/A </t>
  </si>
  <si>
    <t>Basin AreakM2(A)</t>
  </si>
  <si>
    <t>Number of Streams (Nu)Count</t>
  </si>
  <si>
    <t xml:space="preserve">Stream frequency (Fs)= Nu/A </t>
  </si>
  <si>
    <t xml:space="preserve"> FormFactor Ff = A /Lb2</t>
  </si>
  <si>
    <t xml:space="preserve"> BasinLength KM Lb</t>
  </si>
  <si>
    <t xml:space="preserve"> ElongationRatio Re= (2*SQRT(A/pi))/2</t>
  </si>
  <si>
    <t>FID</t>
  </si>
  <si>
    <t>Malria_Ind</t>
  </si>
  <si>
    <t>POPTOT</t>
  </si>
  <si>
    <t>W_NAME</t>
  </si>
  <si>
    <t>EASE_ZoneN</t>
  </si>
  <si>
    <t>POP_MALE</t>
  </si>
  <si>
    <t>POP_FEMALE</t>
  </si>
  <si>
    <t>POP_TOTAL</t>
  </si>
  <si>
    <t>x_coord</t>
  </si>
  <si>
    <t>y_coord</t>
  </si>
  <si>
    <t>API1POTTOT</t>
  </si>
  <si>
    <t>API2PTOTAL</t>
  </si>
  <si>
    <t>Point</t>
  </si>
  <si>
    <t>Quara</t>
  </si>
  <si>
    <t>North Gonder</t>
  </si>
  <si>
    <t>Sekela</t>
  </si>
  <si>
    <t>West Gojam</t>
  </si>
  <si>
    <t>Fagta Lakoma</t>
  </si>
  <si>
    <t>Awi</t>
  </si>
  <si>
    <t>Bibugn</t>
  </si>
  <si>
    <t>East Gojam</t>
  </si>
  <si>
    <t>Banja</t>
  </si>
  <si>
    <t>Alefa</t>
  </si>
  <si>
    <t>Dembia</t>
  </si>
  <si>
    <t>Esite</t>
  </si>
  <si>
    <t>South Gonder</t>
  </si>
  <si>
    <t>Gonder Zuria</t>
  </si>
  <si>
    <t>Wegera</t>
  </si>
  <si>
    <t>Metema</t>
  </si>
  <si>
    <t xml:space="preserve"> </t>
  </si>
  <si>
    <t>Sanja</t>
  </si>
  <si>
    <t>Addi Arkay</t>
  </si>
  <si>
    <t>Debark</t>
  </si>
  <si>
    <t>Janamora</t>
  </si>
  <si>
    <t>Beyeda</t>
  </si>
  <si>
    <t>Dabat</t>
  </si>
  <si>
    <t>Lay Armacheho</t>
  </si>
  <si>
    <t>Gonder</t>
  </si>
  <si>
    <t>Chilga</t>
  </si>
  <si>
    <t>Belesa</t>
  </si>
  <si>
    <t>Ebenat</t>
  </si>
  <si>
    <t>Kemekem</t>
  </si>
  <si>
    <t>Fogera</t>
  </si>
  <si>
    <t>Achefer</t>
  </si>
  <si>
    <t>Debre Tabor</t>
  </si>
  <si>
    <t>Farta</t>
  </si>
  <si>
    <t>Dera</t>
  </si>
  <si>
    <t>Lay Gayint</t>
  </si>
  <si>
    <t>Bahir Dar Zuria</t>
  </si>
  <si>
    <t>Tach Gayint</t>
  </si>
  <si>
    <t>Bahir Dar</t>
  </si>
  <si>
    <t>Bar Dar Sp. Zone</t>
  </si>
  <si>
    <t>Merawi</t>
  </si>
  <si>
    <t>Adet</t>
  </si>
  <si>
    <t>Dangila</t>
  </si>
  <si>
    <t>Simada</t>
  </si>
  <si>
    <t>Hulet Ej Enese</t>
  </si>
  <si>
    <t>Quarit</t>
  </si>
  <si>
    <t>Guangua</t>
  </si>
  <si>
    <t>Goncha Siso Enese</t>
  </si>
  <si>
    <t>Enbise Sar Midir</t>
  </si>
  <si>
    <t>Ankasha</t>
  </si>
  <si>
    <t>Dega Damot</t>
  </si>
  <si>
    <t>Bure Wemberma</t>
  </si>
  <si>
    <t>Jabi Tehnan</t>
  </si>
  <si>
    <t>Enarj Enawga</t>
  </si>
  <si>
    <t>Dembecha</t>
  </si>
  <si>
    <t>Machakel</t>
  </si>
  <si>
    <t>Guzamn</t>
  </si>
  <si>
    <t>Debay Telatgen</t>
  </si>
  <si>
    <t>Enemay</t>
  </si>
  <si>
    <t>Debre Markos</t>
  </si>
  <si>
    <t>Awabel</t>
  </si>
  <si>
    <t>Dejen</t>
  </si>
  <si>
    <t>Baso Liben</t>
  </si>
  <si>
    <t>Name</t>
  </si>
  <si>
    <t>Obj_ID</t>
  </si>
  <si>
    <t>Obj_Id</t>
  </si>
  <si>
    <t>Id *</t>
  </si>
  <si>
    <t>AREA</t>
  </si>
  <si>
    <t>DEM_RANGE(Bh)</t>
  </si>
  <si>
    <t xml:space="preserve">relief ratio (Rh = Bh / Lb) </t>
  </si>
  <si>
    <t>DEM RANGE (Bh)</t>
  </si>
  <si>
    <t xml:space="preserve">Ruggedness Number (Rn) = Bh × Dd
</t>
  </si>
  <si>
    <t>Stream length in km (Lu)    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</si>
</sst>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7" xfId="0" applyFont="1" applyFill="1" applyBorder="1" applyAlignment="1">
      <alignment horizontal="justify" vertical="center" wrapText="1"/>
    </xf>
    <xf numFmtId="0" fontId="1" fillId="0" borderId="0" xfId="0" applyFont="1"/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justify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2" fontId="1" fillId="0" borderId="8" xfId="0" applyNumberFormat="1" applyFont="1" applyBorder="1"/>
    <xf numFmtId="2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workbookViewId="0">
      <selection activeCell="E1" activeCellId="1" sqref="A1:A1048576 E1:E1048576"/>
    </sheetView>
  </sheetViews>
  <sheetFormatPr defaultRowHeight="15" x14ac:dyDescent="0.25"/>
  <sheetData>
    <row r="1" spans="1:13" ht="14.45" x14ac:dyDescent="0.35">
      <c r="A1" t="s">
        <v>63</v>
      </c>
      <c r="B1" t="s">
        <v>1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</row>
    <row r="2" spans="1:13" ht="14.45" x14ac:dyDescent="0.35">
      <c r="A2">
        <v>0</v>
      </c>
      <c r="B2" t="s">
        <v>75</v>
      </c>
      <c r="C2">
        <v>649</v>
      </c>
      <c r="D2">
        <v>105751</v>
      </c>
      <c r="E2" t="s">
        <v>93</v>
      </c>
      <c r="F2" t="s">
        <v>77</v>
      </c>
      <c r="G2">
        <v>69807</v>
      </c>
      <c r="H2">
        <v>67157</v>
      </c>
      <c r="I2">
        <v>136964</v>
      </c>
      <c r="J2">
        <v>224028.83783199999</v>
      </c>
      <c r="K2">
        <v>1518760.2557399999</v>
      </c>
      <c r="L2">
        <v>6.1370579999999997</v>
      </c>
      <c r="M2">
        <v>4.7384709999999997</v>
      </c>
    </row>
    <row r="3" spans="1:13" ht="14.45" x14ac:dyDescent="0.35">
      <c r="A3">
        <v>1</v>
      </c>
      <c r="B3" t="s">
        <v>75</v>
      </c>
      <c r="C3">
        <v>583</v>
      </c>
      <c r="D3">
        <v>106983</v>
      </c>
      <c r="E3" t="s">
        <v>94</v>
      </c>
      <c r="F3" t="s">
        <v>77</v>
      </c>
      <c r="G3">
        <v>70103</v>
      </c>
      <c r="H3">
        <v>69336</v>
      </c>
      <c r="I3">
        <v>139439</v>
      </c>
      <c r="J3">
        <v>397830.62657000002</v>
      </c>
      <c r="K3">
        <v>1486202.87415</v>
      </c>
      <c r="L3">
        <v>5.4494639999999999</v>
      </c>
      <c r="M3">
        <v>4.1810400000000003</v>
      </c>
    </row>
    <row r="4" spans="1:13" ht="14.45" x14ac:dyDescent="0.35">
      <c r="A4">
        <v>2</v>
      </c>
      <c r="B4" t="s">
        <v>75</v>
      </c>
      <c r="C4">
        <v>991</v>
      </c>
      <c r="D4">
        <v>106983</v>
      </c>
      <c r="E4" t="s">
        <v>94</v>
      </c>
      <c r="F4" t="s">
        <v>77</v>
      </c>
      <c r="G4">
        <v>70103</v>
      </c>
      <c r="H4">
        <v>69336</v>
      </c>
      <c r="I4">
        <v>139439</v>
      </c>
      <c r="J4">
        <v>379159.371606</v>
      </c>
      <c r="K4">
        <v>1474814.52055</v>
      </c>
      <c r="L4">
        <v>9.2631540000000001</v>
      </c>
      <c r="M4">
        <v>7.1070500000000001</v>
      </c>
    </row>
    <row r="5" spans="1:13" ht="14.45" x14ac:dyDescent="0.35">
      <c r="A5">
        <v>3</v>
      </c>
      <c r="B5" t="s">
        <v>75</v>
      </c>
      <c r="C5">
        <v>882</v>
      </c>
      <c r="D5">
        <v>105751</v>
      </c>
      <c r="E5" t="s">
        <v>93</v>
      </c>
      <c r="F5" t="s">
        <v>77</v>
      </c>
      <c r="G5">
        <v>69807</v>
      </c>
      <c r="H5">
        <v>67157</v>
      </c>
      <c r="I5">
        <v>136964</v>
      </c>
      <c r="J5">
        <v>326888.32497800002</v>
      </c>
      <c r="K5">
        <v>1469317.7933199999</v>
      </c>
      <c r="L5">
        <v>8.3403469999999995</v>
      </c>
      <c r="M5">
        <v>6.439648</v>
      </c>
    </row>
    <row r="6" spans="1:13" ht="14.45" x14ac:dyDescent="0.35">
      <c r="A6">
        <v>4</v>
      </c>
      <c r="B6" t="s">
        <v>75</v>
      </c>
      <c r="C6">
        <v>994</v>
      </c>
      <c r="D6">
        <v>106983</v>
      </c>
      <c r="E6" t="s">
        <v>95</v>
      </c>
      <c r="F6" t="s">
        <v>77</v>
      </c>
      <c r="G6">
        <v>79391</v>
      </c>
      <c r="H6">
        <v>79890</v>
      </c>
      <c r="I6">
        <v>159281</v>
      </c>
      <c r="J6">
        <v>403929.33256800001</v>
      </c>
      <c r="K6">
        <v>1467366.77688</v>
      </c>
      <c r="L6">
        <v>9.2911959999999993</v>
      </c>
      <c r="M6">
        <v>6.2405429999999997</v>
      </c>
    </row>
    <row r="7" spans="1:13" ht="14.45" x14ac:dyDescent="0.35">
      <c r="A7">
        <v>5</v>
      </c>
      <c r="B7" t="s">
        <v>75</v>
      </c>
      <c r="C7">
        <v>1034</v>
      </c>
      <c r="D7">
        <v>125516</v>
      </c>
      <c r="E7" t="s">
        <v>96</v>
      </c>
      <c r="F7" t="s">
        <v>77</v>
      </c>
      <c r="G7">
        <v>80497</v>
      </c>
      <c r="H7">
        <v>81112</v>
      </c>
      <c r="I7">
        <v>161609</v>
      </c>
      <c r="J7">
        <v>412172.25740300003</v>
      </c>
      <c r="K7">
        <v>1465761.40288</v>
      </c>
      <c r="L7">
        <v>8.2379940000000005</v>
      </c>
      <c r="M7">
        <v>6.3981589999999997</v>
      </c>
    </row>
    <row r="8" spans="1:13" ht="14.45" x14ac:dyDescent="0.35">
      <c r="A8">
        <v>6</v>
      </c>
      <c r="B8" t="s">
        <v>75</v>
      </c>
      <c r="C8">
        <v>959</v>
      </c>
      <c r="D8">
        <v>120754</v>
      </c>
      <c r="E8" t="s">
        <v>95</v>
      </c>
      <c r="F8" t="s">
        <v>77</v>
      </c>
      <c r="G8">
        <v>79391</v>
      </c>
      <c r="H8">
        <v>79890</v>
      </c>
      <c r="I8">
        <v>159281</v>
      </c>
      <c r="J8">
        <v>379052.74412699998</v>
      </c>
      <c r="K8">
        <v>1463134.6633599999</v>
      </c>
      <c r="L8">
        <v>7.9417660000000003</v>
      </c>
      <c r="M8">
        <v>6.0208060000000003</v>
      </c>
    </row>
    <row r="9" spans="1:13" ht="14.45" x14ac:dyDescent="0.35">
      <c r="A9">
        <v>7</v>
      </c>
      <c r="B9" t="s">
        <v>75</v>
      </c>
      <c r="C9">
        <v>862</v>
      </c>
      <c r="D9">
        <v>106983</v>
      </c>
      <c r="E9" t="s">
        <v>95</v>
      </c>
      <c r="F9" t="s">
        <v>77</v>
      </c>
      <c r="G9">
        <v>79391</v>
      </c>
      <c r="H9">
        <v>79890</v>
      </c>
      <c r="I9">
        <v>159281</v>
      </c>
      <c r="J9">
        <v>395475.09426899999</v>
      </c>
      <c r="K9">
        <v>1462103.91142</v>
      </c>
      <c r="L9">
        <v>8.0573549999999994</v>
      </c>
      <c r="M9">
        <v>5.4118190000000004</v>
      </c>
    </row>
    <row r="10" spans="1:13" ht="14.45" x14ac:dyDescent="0.35">
      <c r="A10">
        <v>8</v>
      </c>
      <c r="B10" t="s">
        <v>75</v>
      </c>
      <c r="C10">
        <v>961</v>
      </c>
      <c r="D10">
        <v>120754</v>
      </c>
      <c r="E10" t="s">
        <v>95</v>
      </c>
      <c r="F10" t="s">
        <v>77</v>
      </c>
      <c r="G10">
        <v>79391</v>
      </c>
      <c r="H10">
        <v>79890</v>
      </c>
      <c r="I10">
        <v>159281</v>
      </c>
      <c r="J10">
        <v>379840.30335900001</v>
      </c>
      <c r="K10">
        <v>1453966.42695</v>
      </c>
      <c r="L10">
        <v>7.958329</v>
      </c>
      <c r="M10">
        <v>6.0333620000000003</v>
      </c>
    </row>
    <row r="11" spans="1:13" ht="14.45" x14ac:dyDescent="0.35">
      <c r="A11">
        <v>9</v>
      </c>
      <c r="B11" t="s">
        <v>75</v>
      </c>
      <c r="C11">
        <v>932</v>
      </c>
      <c r="D11">
        <v>76680</v>
      </c>
      <c r="E11" t="s">
        <v>97</v>
      </c>
      <c r="F11" t="s">
        <v>77</v>
      </c>
      <c r="G11">
        <v>48753</v>
      </c>
      <c r="H11">
        <v>49984</v>
      </c>
      <c r="I11">
        <v>98737</v>
      </c>
      <c r="J11">
        <v>438839.68429599999</v>
      </c>
      <c r="K11">
        <v>1449327.42362</v>
      </c>
      <c r="L11">
        <v>12.154408</v>
      </c>
      <c r="M11">
        <v>9.4392169999999993</v>
      </c>
    </row>
    <row r="12" spans="1:13" ht="14.45" x14ac:dyDescent="0.35">
      <c r="A12">
        <v>10</v>
      </c>
      <c r="B12" t="s">
        <v>75</v>
      </c>
      <c r="C12">
        <v>805</v>
      </c>
      <c r="D12">
        <v>125516</v>
      </c>
      <c r="E12" t="s">
        <v>96</v>
      </c>
      <c r="F12" t="s">
        <v>77</v>
      </c>
      <c r="G12">
        <v>80497</v>
      </c>
      <c r="H12">
        <v>81112</v>
      </c>
      <c r="I12">
        <v>161609</v>
      </c>
      <c r="J12">
        <v>407745.19808100001</v>
      </c>
      <c r="K12">
        <v>1445960.9331499999</v>
      </c>
      <c r="L12">
        <v>6.4135249999999999</v>
      </c>
      <c r="M12">
        <v>4.9811579999999998</v>
      </c>
    </row>
    <row r="13" spans="1:13" ht="14.45" x14ac:dyDescent="0.35">
      <c r="A13">
        <v>11</v>
      </c>
      <c r="B13" t="s">
        <v>75</v>
      </c>
      <c r="C13">
        <v>927</v>
      </c>
      <c r="D13">
        <v>118566</v>
      </c>
      <c r="E13" t="s">
        <v>98</v>
      </c>
      <c r="F13" t="s">
        <v>77</v>
      </c>
      <c r="G13">
        <v>78195</v>
      </c>
      <c r="H13">
        <v>77208</v>
      </c>
      <c r="I13">
        <v>155403</v>
      </c>
      <c r="J13">
        <v>372753.81142699998</v>
      </c>
      <c r="K13">
        <v>1443824.4436900001</v>
      </c>
      <c r="L13">
        <v>7.8184300000000002</v>
      </c>
      <c r="M13">
        <v>5.9651360000000002</v>
      </c>
    </row>
    <row r="14" spans="1:13" ht="14.45" x14ac:dyDescent="0.35">
      <c r="A14">
        <v>12</v>
      </c>
      <c r="B14" t="s">
        <v>75</v>
      </c>
      <c r="C14">
        <v>936</v>
      </c>
      <c r="D14">
        <v>118566</v>
      </c>
      <c r="E14" t="s">
        <v>98</v>
      </c>
      <c r="F14" t="s">
        <v>77</v>
      </c>
      <c r="G14">
        <v>78195</v>
      </c>
      <c r="H14">
        <v>77208</v>
      </c>
      <c r="I14">
        <v>155403</v>
      </c>
      <c r="J14">
        <v>364979.601716</v>
      </c>
      <c r="K14">
        <v>1434680.8340799999</v>
      </c>
      <c r="L14">
        <v>7.8943370000000002</v>
      </c>
      <c r="M14">
        <v>6.0230499999999996</v>
      </c>
    </row>
    <row r="15" spans="1:13" ht="14.45" x14ac:dyDescent="0.35">
      <c r="A15">
        <v>13</v>
      </c>
      <c r="B15" t="s">
        <v>75</v>
      </c>
      <c r="C15">
        <v>-100</v>
      </c>
      <c r="D15">
        <v>54913</v>
      </c>
      <c r="E15" t="s">
        <v>91</v>
      </c>
      <c r="F15" t="s">
        <v>77</v>
      </c>
      <c r="G15">
        <v>40038</v>
      </c>
      <c r="H15">
        <v>33875</v>
      </c>
      <c r="I15">
        <v>73913</v>
      </c>
      <c r="J15">
        <v>191341.99912399999</v>
      </c>
      <c r="K15">
        <v>1431499.9137800001</v>
      </c>
      <c r="L15">
        <v>-1.821062</v>
      </c>
      <c r="M15">
        <v>-1.3529420000000001</v>
      </c>
    </row>
    <row r="16" spans="1:13" ht="14.45" x14ac:dyDescent="0.35">
      <c r="A16">
        <v>14</v>
      </c>
      <c r="B16" t="s">
        <v>75</v>
      </c>
      <c r="C16">
        <v>968</v>
      </c>
      <c r="D16">
        <v>117471</v>
      </c>
      <c r="E16" t="s">
        <v>99</v>
      </c>
      <c r="F16" t="s">
        <v>77</v>
      </c>
      <c r="G16">
        <v>75285</v>
      </c>
      <c r="H16">
        <v>76952</v>
      </c>
      <c r="I16">
        <v>152237</v>
      </c>
      <c r="J16">
        <v>321301.568004</v>
      </c>
      <c r="K16">
        <v>1423946.6131200001</v>
      </c>
      <c r="L16">
        <v>8.2403320000000004</v>
      </c>
      <c r="M16">
        <v>6.3585070000000004</v>
      </c>
    </row>
    <row r="17" spans="1:13" ht="14.45" x14ac:dyDescent="0.35">
      <c r="A17">
        <v>15</v>
      </c>
      <c r="B17" t="s">
        <v>75</v>
      </c>
      <c r="C17">
        <v>820</v>
      </c>
      <c r="D17">
        <v>183589</v>
      </c>
      <c r="E17" t="s">
        <v>90</v>
      </c>
      <c r="F17" t="s">
        <v>77</v>
      </c>
      <c r="G17">
        <v>120736</v>
      </c>
      <c r="H17">
        <v>117399</v>
      </c>
      <c r="I17">
        <v>238135</v>
      </c>
      <c r="J17">
        <v>347341.90153799998</v>
      </c>
      <c r="K17">
        <v>1411017.74814</v>
      </c>
      <c r="L17">
        <v>4.4664989999999998</v>
      </c>
      <c r="M17">
        <v>3.443425</v>
      </c>
    </row>
    <row r="18" spans="1:13" ht="14.45" x14ac:dyDescent="0.35">
      <c r="A18">
        <v>16</v>
      </c>
      <c r="B18" t="s">
        <v>75</v>
      </c>
      <c r="C18">
        <v>898</v>
      </c>
      <c r="D18">
        <v>54913</v>
      </c>
      <c r="E18" t="s">
        <v>91</v>
      </c>
      <c r="F18" t="s">
        <v>77</v>
      </c>
      <c r="G18">
        <v>40038</v>
      </c>
      <c r="H18">
        <v>33875</v>
      </c>
      <c r="I18">
        <v>73913</v>
      </c>
      <c r="J18">
        <v>246386.52493799999</v>
      </c>
      <c r="K18">
        <v>1399920.3051199999</v>
      </c>
      <c r="L18">
        <v>16.35314</v>
      </c>
      <c r="M18">
        <v>12.149419</v>
      </c>
    </row>
    <row r="19" spans="1:13" ht="14.45" x14ac:dyDescent="0.35">
      <c r="A19">
        <v>17</v>
      </c>
      <c r="B19" t="s">
        <v>75</v>
      </c>
      <c r="C19">
        <v>962</v>
      </c>
      <c r="D19">
        <v>192337</v>
      </c>
      <c r="E19" t="s">
        <v>100</v>
      </c>
      <c r="F19" t="s">
        <v>77</v>
      </c>
      <c r="G19">
        <v>89260</v>
      </c>
      <c r="H19">
        <v>88654</v>
      </c>
      <c r="I19">
        <v>177914</v>
      </c>
      <c r="J19">
        <v>332975.853466</v>
      </c>
      <c r="K19">
        <v>1393464.2774</v>
      </c>
      <c r="L19">
        <v>5.0016379999999998</v>
      </c>
      <c r="M19">
        <v>5.4071069999999999</v>
      </c>
    </row>
    <row r="20" spans="1:13" ht="14.45" x14ac:dyDescent="0.35">
      <c r="A20">
        <v>18</v>
      </c>
      <c r="B20" t="s">
        <v>75</v>
      </c>
      <c r="C20">
        <v>983</v>
      </c>
      <c r="D20">
        <v>192337</v>
      </c>
      <c r="E20" t="s">
        <v>100</v>
      </c>
      <c r="F20" t="s">
        <v>77</v>
      </c>
      <c r="G20">
        <v>89260</v>
      </c>
      <c r="H20">
        <v>88654</v>
      </c>
      <c r="I20">
        <v>177914</v>
      </c>
      <c r="J20">
        <v>328389.857732</v>
      </c>
      <c r="K20">
        <v>1387522.5371999999</v>
      </c>
      <c r="L20">
        <v>5.1108209999999996</v>
      </c>
      <c r="M20">
        <v>5.5251409999999996</v>
      </c>
    </row>
    <row r="21" spans="1:13" ht="14.45" x14ac:dyDescent="0.35">
      <c r="A21">
        <v>19</v>
      </c>
      <c r="B21" t="s">
        <v>75</v>
      </c>
      <c r="C21">
        <v>858</v>
      </c>
      <c r="D21">
        <v>166086</v>
      </c>
      <c r="E21" t="s">
        <v>101</v>
      </c>
      <c r="F21" t="s">
        <v>77</v>
      </c>
      <c r="G21">
        <v>109377</v>
      </c>
      <c r="H21">
        <v>106672</v>
      </c>
      <c r="I21">
        <v>216049</v>
      </c>
      <c r="J21">
        <v>277611.08340800001</v>
      </c>
      <c r="K21">
        <v>1385844.0599799999</v>
      </c>
      <c r="L21">
        <v>5.1659980000000001</v>
      </c>
      <c r="M21">
        <v>3.9713210000000001</v>
      </c>
    </row>
    <row r="22" spans="1:13" ht="14.45" x14ac:dyDescent="0.35">
      <c r="A22">
        <v>20</v>
      </c>
      <c r="B22" t="s">
        <v>75</v>
      </c>
      <c r="C22">
        <v>852</v>
      </c>
      <c r="D22">
        <v>166086</v>
      </c>
      <c r="E22" t="s">
        <v>101</v>
      </c>
      <c r="F22" t="s">
        <v>77</v>
      </c>
      <c r="G22">
        <v>109377</v>
      </c>
      <c r="H22">
        <v>106672</v>
      </c>
      <c r="I22">
        <v>216049</v>
      </c>
      <c r="J22">
        <v>286554.82075299998</v>
      </c>
      <c r="K22">
        <v>1385295.4317600001</v>
      </c>
      <c r="L22">
        <v>5.1298719999999998</v>
      </c>
      <c r="M22">
        <v>3.9435500000000001</v>
      </c>
    </row>
    <row r="23" spans="1:13" ht="14.45" x14ac:dyDescent="0.35">
      <c r="A23">
        <v>21</v>
      </c>
      <c r="B23" t="s">
        <v>75</v>
      </c>
      <c r="C23">
        <v>858</v>
      </c>
      <c r="D23">
        <v>54913</v>
      </c>
      <c r="E23" t="s">
        <v>91</v>
      </c>
      <c r="F23" t="s">
        <v>77</v>
      </c>
      <c r="G23">
        <v>40038</v>
      </c>
      <c r="H23">
        <v>33875</v>
      </c>
      <c r="I23">
        <v>73913</v>
      </c>
      <c r="J23">
        <v>221623.67492300001</v>
      </c>
      <c r="K23">
        <v>1380977.2205699999</v>
      </c>
      <c r="L23">
        <v>15.624715</v>
      </c>
      <c r="M23">
        <v>11.608242000000001</v>
      </c>
    </row>
    <row r="24" spans="1:13" x14ac:dyDescent="0.25">
      <c r="A24">
        <v>22</v>
      </c>
      <c r="B24" t="s">
        <v>75</v>
      </c>
      <c r="C24">
        <v>993</v>
      </c>
      <c r="D24">
        <v>218014</v>
      </c>
      <c r="E24" t="s">
        <v>86</v>
      </c>
      <c r="F24" t="s">
        <v>77</v>
      </c>
      <c r="G24">
        <v>144488</v>
      </c>
      <c r="H24">
        <v>140486</v>
      </c>
      <c r="I24">
        <v>284974</v>
      </c>
      <c r="J24">
        <v>318675.897031</v>
      </c>
      <c r="K24">
        <v>1373329.8100999999</v>
      </c>
      <c r="L24">
        <v>4.5547529999999998</v>
      </c>
      <c r="M24">
        <v>3.4845280000000001</v>
      </c>
    </row>
    <row r="25" spans="1:13" x14ac:dyDescent="0.25">
      <c r="A25">
        <v>23</v>
      </c>
      <c r="B25" t="s">
        <v>75</v>
      </c>
      <c r="C25">
        <v>859</v>
      </c>
      <c r="D25">
        <v>166086</v>
      </c>
      <c r="E25" t="s">
        <v>101</v>
      </c>
      <c r="F25" t="s">
        <v>77</v>
      </c>
      <c r="G25">
        <v>109377</v>
      </c>
      <c r="H25">
        <v>106672</v>
      </c>
      <c r="I25">
        <v>216049</v>
      </c>
      <c r="J25">
        <v>286234.908772</v>
      </c>
      <c r="K25">
        <v>1371283.5761800001</v>
      </c>
      <c r="L25">
        <v>5.1720189999999997</v>
      </c>
      <c r="M25">
        <v>3.9759500000000001</v>
      </c>
    </row>
    <row r="26" spans="1:13" x14ac:dyDescent="0.25">
      <c r="A26">
        <v>24</v>
      </c>
      <c r="B26" t="s">
        <v>75</v>
      </c>
      <c r="C26">
        <v>968</v>
      </c>
      <c r="D26">
        <v>140214</v>
      </c>
      <c r="E26" t="s">
        <v>102</v>
      </c>
      <c r="F26" t="s">
        <v>77</v>
      </c>
      <c r="G26">
        <v>23574</v>
      </c>
      <c r="H26">
        <v>22215</v>
      </c>
      <c r="I26">
        <v>45789</v>
      </c>
      <c r="J26">
        <v>398900.00844000001</v>
      </c>
      <c r="K26">
        <v>1371222.16439</v>
      </c>
      <c r="L26">
        <v>6.9037329999999999</v>
      </c>
      <c r="M26">
        <v>21.140449</v>
      </c>
    </row>
    <row r="27" spans="1:13" x14ac:dyDescent="0.25">
      <c r="A27">
        <v>25</v>
      </c>
      <c r="B27" t="s">
        <v>75</v>
      </c>
      <c r="C27">
        <v>846</v>
      </c>
      <c r="D27">
        <v>35600</v>
      </c>
      <c r="E27" t="s">
        <v>76</v>
      </c>
      <c r="F27" t="s">
        <v>77</v>
      </c>
      <c r="G27">
        <v>141823</v>
      </c>
      <c r="H27">
        <v>136289</v>
      </c>
      <c r="I27">
        <v>278112</v>
      </c>
      <c r="J27">
        <v>206866.329616</v>
      </c>
      <c r="K27">
        <v>1369712.1201500001</v>
      </c>
      <c r="L27">
        <v>23.764044999999999</v>
      </c>
      <c r="M27">
        <v>3.0419399999999999</v>
      </c>
    </row>
    <row r="28" spans="1:13" x14ac:dyDescent="0.25">
      <c r="A28">
        <v>26</v>
      </c>
      <c r="B28" t="s">
        <v>75</v>
      </c>
      <c r="C28">
        <v>895</v>
      </c>
      <c r="D28">
        <v>192337</v>
      </c>
      <c r="E28" t="s">
        <v>89</v>
      </c>
      <c r="F28" t="s">
        <v>77</v>
      </c>
      <c r="G28">
        <v>127412</v>
      </c>
      <c r="H28">
        <v>124103</v>
      </c>
      <c r="I28">
        <v>251515</v>
      </c>
      <c r="J28">
        <v>344001.98560800002</v>
      </c>
      <c r="K28">
        <v>1365785.18631</v>
      </c>
      <c r="L28">
        <v>4.6532910000000003</v>
      </c>
      <c r="M28">
        <v>3.5584359999999999</v>
      </c>
    </row>
    <row r="29" spans="1:13" x14ac:dyDescent="0.25">
      <c r="A29">
        <v>27</v>
      </c>
      <c r="B29" t="s">
        <v>75</v>
      </c>
      <c r="C29">
        <v>998</v>
      </c>
      <c r="D29">
        <v>218014</v>
      </c>
      <c r="E29" t="s">
        <v>86</v>
      </c>
      <c r="F29" t="s">
        <v>77</v>
      </c>
      <c r="G29">
        <v>144488</v>
      </c>
      <c r="H29">
        <v>140486</v>
      </c>
      <c r="I29">
        <v>284974</v>
      </c>
      <c r="J29">
        <v>306717.69016300002</v>
      </c>
      <c r="K29">
        <v>1362783.0789399999</v>
      </c>
      <c r="L29">
        <v>4.5776880000000002</v>
      </c>
      <c r="M29">
        <v>3.5020739999999999</v>
      </c>
    </row>
    <row r="30" spans="1:13" x14ac:dyDescent="0.25">
      <c r="A30">
        <v>28</v>
      </c>
      <c r="B30" t="s">
        <v>75</v>
      </c>
      <c r="C30">
        <v>1052</v>
      </c>
      <c r="D30">
        <v>218014</v>
      </c>
      <c r="E30" t="s">
        <v>86</v>
      </c>
      <c r="F30" t="s">
        <v>77</v>
      </c>
      <c r="G30">
        <v>144488</v>
      </c>
      <c r="H30">
        <v>140486</v>
      </c>
      <c r="I30">
        <v>284974</v>
      </c>
      <c r="J30">
        <v>325741.63329999999</v>
      </c>
      <c r="K30">
        <v>1361692.4480600001</v>
      </c>
      <c r="L30">
        <v>4.8253779999999997</v>
      </c>
      <c r="M30">
        <v>3.6915650000000002</v>
      </c>
    </row>
    <row r="31" spans="1:13" x14ac:dyDescent="0.25">
      <c r="A31">
        <v>29</v>
      </c>
      <c r="B31" t="s">
        <v>75</v>
      </c>
      <c r="C31">
        <v>603</v>
      </c>
      <c r="D31">
        <v>35600</v>
      </c>
      <c r="E31" t="s">
        <v>76</v>
      </c>
      <c r="F31" t="s">
        <v>77</v>
      </c>
      <c r="G31">
        <v>141823</v>
      </c>
      <c r="H31">
        <v>136289</v>
      </c>
      <c r="I31">
        <v>278112</v>
      </c>
      <c r="J31">
        <v>162687.521564</v>
      </c>
      <c r="K31">
        <v>1354062.67123</v>
      </c>
      <c r="L31">
        <v>16.938202</v>
      </c>
      <c r="M31">
        <v>2.1681910000000002</v>
      </c>
    </row>
    <row r="32" spans="1:13" x14ac:dyDescent="0.25">
      <c r="A32">
        <v>30</v>
      </c>
      <c r="B32" t="s">
        <v>75</v>
      </c>
      <c r="C32">
        <v>938</v>
      </c>
      <c r="D32">
        <v>218014</v>
      </c>
      <c r="E32" t="s">
        <v>86</v>
      </c>
      <c r="F32" t="s">
        <v>77</v>
      </c>
      <c r="G32">
        <v>144488</v>
      </c>
      <c r="H32">
        <v>140486</v>
      </c>
      <c r="I32">
        <v>284974</v>
      </c>
      <c r="J32">
        <v>314273.70779299998</v>
      </c>
      <c r="K32">
        <v>1353604.5880700001</v>
      </c>
      <c r="L32">
        <v>4.3024760000000004</v>
      </c>
      <c r="M32">
        <v>3.291528</v>
      </c>
    </row>
    <row r="33" spans="1:13" x14ac:dyDescent="0.25">
      <c r="A33">
        <v>31</v>
      </c>
      <c r="B33" t="s">
        <v>75</v>
      </c>
      <c r="C33">
        <v>1052</v>
      </c>
      <c r="D33">
        <v>213961</v>
      </c>
      <c r="E33" t="s">
        <v>85</v>
      </c>
      <c r="F33" t="s">
        <v>77</v>
      </c>
      <c r="G33">
        <v>93052</v>
      </c>
      <c r="H33">
        <v>88634</v>
      </c>
      <c r="I33">
        <v>181686</v>
      </c>
      <c r="J33">
        <v>286954.55370599998</v>
      </c>
      <c r="K33">
        <v>1348180.10674</v>
      </c>
      <c r="L33">
        <v>4.9167839999999998</v>
      </c>
      <c r="M33">
        <v>5.7902089999999999</v>
      </c>
    </row>
    <row r="34" spans="1:13" x14ac:dyDescent="0.25">
      <c r="A34">
        <v>32</v>
      </c>
      <c r="B34" t="s">
        <v>75</v>
      </c>
      <c r="C34">
        <v>1018</v>
      </c>
      <c r="D34">
        <v>163413</v>
      </c>
      <c r="E34" t="s">
        <v>103</v>
      </c>
      <c r="F34" t="s">
        <v>88</v>
      </c>
      <c r="G34">
        <v>108139</v>
      </c>
      <c r="H34">
        <v>104442</v>
      </c>
      <c r="I34">
        <v>212581</v>
      </c>
      <c r="J34">
        <v>390714.13854399999</v>
      </c>
      <c r="K34">
        <v>1346512.19829</v>
      </c>
      <c r="L34">
        <v>6.2296149999999999</v>
      </c>
      <c r="M34">
        <v>4.7887630000000003</v>
      </c>
    </row>
    <row r="35" spans="1:13" x14ac:dyDescent="0.25">
      <c r="A35">
        <v>33</v>
      </c>
      <c r="B35" t="s">
        <v>75</v>
      </c>
      <c r="C35">
        <v>958</v>
      </c>
      <c r="D35">
        <v>163413</v>
      </c>
      <c r="E35" t="s">
        <v>103</v>
      </c>
      <c r="F35" t="s">
        <v>88</v>
      </c>
      <c r="G35">
        <v>108139</v>
      </c>
      <c r="H35">
        <v>104442</v>
      </c>
      <c r="I35">
        <v>212581</v>
      </c>
      <c r="J35">
        <v>396201.599154</v>
      </c>
      <c r="K35">
        <v>1341131.2038499999</v>
      </c>
      <c r="L35">
        <v>5.8624470000000004</v>
      </c>
      <c r="M35">
        <v>4.5065179999999998</v>
      </c>
    </row>
    <row r="36" spans="1:13" x14ac:dyDescent="0.25">
      <c r="A36">
        <v>34</v>
      </c>
      <c r="B36" t="s">
        <v>75</v>
      </c>
      <c r="C36">
        <v>1169</v>
      </c>
      <c r="D36">
        <v>220414</v>
      </c>
      <c r="E36" t="s">
        <v>104</v>
      </c>
      <c r="F36" t="s">
        <v>88</v>
      </c>
      <c r="G36">
        <v>146759</v>
      </c>
      <c r="H36">
        <v>141657</v>
      </c>
      <c r="I36">
        <v>288416</v>
      </c>
      <c r="J36">
        <v>367410.97908100003</v>
      </c>
      <c r="K36">
        <v>1341036.3362700001</v>
      </c>
      <c r="L36">
        <v>5.3036560000000001</v>
      </c>
      <c r="M36">
        <v>4.0531730000000001</v>
      </c>
    </row>
    <row r="37" spans="1:13" x14ac:dyDescent="0.25">
      <c r="A37">
        <v>35</v>
      </c>
      <c r="B37" t="s">
        <v>75</v>
      </c>
      <c r="C37">
        <v>1090</v>
      </c>
      <c r="D37">
        <v>220414</v>
      </c>
      <c r="E37" t="s">
        <v>104</v>
      </c>
      <c r="F37" t="s">
        <v>88</v>
      </c>
      <c r="G37">
        <v>146759</v>
      </c>
      <c r="H37">
        <v>141657</v>
      </c>
      <c r="I37">
        <v>288416</v>
      </c>
      <c r="J37">
        <v>360316.29917200003</v>
      </c>
      <c r="K37">
        <v>1336483.0941000001</v>
      </c>
      <c r="L37">
        <v>4.9452389999999999</v>
      </c>
      <c r="M37">
        <v>3.7792629999999998</v>
      </c>
    </row>
    <row r="38" spans="1:13" x14ac:dyDescent="0.25">
      <c r="A38">
        <v>36</v>
      </c>
      <c r="B38" t="s">
        <v>75</v>
      </c>
      <c r="C38">
        <v>1187</v>
      </c>
      <c r="D38">
        <v>213961</v>
      </c>
      <c r="E38" t="s">
        <v>85</v>
      </c>
      <c r="F38" t="s">
        <v>77</v>
      </c>
      <c r="G38">
        <v>93052</v>
      </c>
      <c r="H38">
        <v>88634</v>
      </c>
      <c r="I38">
        <v>181686</v>
      </c>
      <c r="J38">
        <v>274687.06084599998</v>
      </c>
      <c r="K38">
        <v>1329692.76146</v>
      </c>
      <c r="L38">
        <v>5.5477400000000001</v>
      </c>
      <c r="M38">
        <v>6.5332499999999998</v>
      </c>
    </row>
    <row r="39" spans="1:13" x14ac:dyDescent="0.25">
      <c r="A39">
        <v>37</v>
      </c>
      <c r="B39" t="s">
        <v>75</v>
      </c>
      <c r="C39">
        <v>1187</v>
      </c>
      <c r="D39">
        <v>213961</v>
      </c>
      <c r="E39" t="s">
        <v>85</v>
      </c>
      <c r="F39" t="s">
        <v>77</v>
      </c>
      <c r="G39">
        <v>93052</v>
      </c>
      <c r="H39">
        <v>88634</v>
      </c>
      <c r="I39">
        <v>181686</v>
      </c>
      <c r="J39">
        <v>274616.46703599999</v>
      </c>
      <c r="K39">
        <v>1329385.63689</v>
      </c>
      <c r="L39">
        <v>5.5477400000000001</v>
      </c>
      <c r="M39">
        <v>6.5332499999999998</v>
      </c>
    </row>
    <row r="40" spans="1:13" x14ac:dyDescent="0.25">
      <c r="A40">
        <v>38</v>
      </c>
      <c r="B40" t="s">
        <v>75</v>
      </c>
      <c r="C40">
        <v>1132</v>
      </c>
      <c r="D40">
        <v>213961</v>
      </c>
      <c r="E40" t="s">
        <v>85</v>
      </c>
      <c r="F40" t="s">
        <v>77</v>
      </c>
      <c r="G40">
        <v>93052</v>
      </c>
      <c r="H40">
        <v>88634</v>
      </c>
      <c r="I40">
        <v>181686</v>
      </c>
      <c r="J40">
        <v>282105.95495099999</v>
      </c>
      <c r="K40">
        <v>1323968.51516</v>
      </c>
      <c r="L40">
        <v>5.2906839999999997</v>
      </c>
      <c r="M40">
        <v>6.2305299999999999</v>
      </c>
    </row>
    <row r="41" spans="1:13" x14ac:dyDescent="0.25">
      <c r="A41">
        <v>39</v>
      </c>
      <c r="B41" t="s">
        <v>75</v>
      </c>
      <c r="C41">
        <v>354</v>
      </c>
      <c r="D41">
        <v>35600</v>
      </c>
      <c r="E41" t="s">
        <v>92</v>
      </c>
      <c r="F41" t="s">
        <v>92</v>
      </c>
      <c r="G41">
        <v>0</v>
      </c>
      <c r="H41">
        <v>0</v>
      </c>
      <c r="I41">
        <v>0</v>
      </c>
      <c r="J41">
        <v>93585.106404999999</v>
      </c>
      <c r="K41">
        <v>1320737.52269</v>
      </c>
      <c r="L41">
        <v>9.9438200000000005</v>
      </c>
      <c r="M41">
        <v>0</v>
      </c>
    </row>
    <row r="42" spans="1:13" x14ac:dyDescent="0.25">
      <c r="A42">
        <v>40</v>
      </c>
      <c r="B42" t="s">
        <v>75</v>
      </c>
      <c r="C42">
        <v>1118</v>
      </c>
      <c r="D42">
        <v>185280</v>
      </c>
      <c r="E42" t="s">
        <v>105</v>
      </c>
      <c r="F42" t="s">
        <v>88</v>
      </c>
      <c r="G42">
        <v>124294</v>
      </c>
      <c r="H42">
        <v>119002</v>
      </c>
      <c r="I42">
        <v>243296</v>
      </c>
      <c r="J42">
        <v>357993.546775</v>
      </c>
      <c r="K42">
        <v>1319253.11619</v>
      </c>
      <c r="L42">
        <v>6.0341110000000002</v>
      </c>
      <c r="M42">
        <v>0</v>
      </c>
    </row>
    <row r="43" spans="1:13" x14ac:dyDescent="0.25">
      <c r="A43">
        <v>41</v>
      </c>
      <c r="B43" t="s">
        <v>75</v>
      </c>
      <c r="C43">
        <v>1274</v>
      </c>
      <c r="D43">
        <v>185280</v>
      </c>
      <c r="E43" t="s">
        <v>105</v>
      </c>
      <c r="F43" t="s">
        <v>88</v>
      </c>
      <c r="G43">
        <v>124294</v>
      </c>
      <c r="H43">
        <v>119002</v>
      </c>
      <c r="I43">
        <v>243296</v>
      </c>
      <c r="J43">
        <v>378372.677562</v>
      </c>
      <c r="K43">
        <v>1316534.9886099999</v>
      </c>
      <c r="L43">
        <v>6.8760789999999998</v>
      </c>
      <c r="M43">
        <v>0</v>
      </c>
    </row>
    <row r="44" spans="1:13" x14ac:dyDescent="0.25">
      <c r="A44">
        <v>42</v>
      </c>
      <c r="B44" t="s">
        <v>75</v>
      </c>
      <c r="C44">
        <v>1178</v>
      </c>
      <c r="D44">
        <v>238255</v>
      </c>
      <c r="E44" t="s">
        <v>106</v>
      </c>
      <c r="F44" t="s">
        <v>79</v>
      </c>
      <c r="G44">
        <v>157314</v>
      </c>
      <c r="H44">
        <v>152730</v>
      </c>
      <c r="I44">
        <v>310044</v>
      </c>
      <c r="J44">
        <v>285582.10191899998</v>
      </c>
      <c r="K44">
        <v>1313499.2766</v>
      </c>
      <c r="L44">
        <v>4.9442820000000003</v>
      </c>
      <c r="M44">
        <v>0</v>
      </c>
    </row>
    <row r="45" spans="1:13" x14ac:dyDescent="0.25">
      <c r="A45">
        <v>43</v>
      </c>
      <c r="B45" t="s">
        <v>75</v>
      </c>
      <c r="C45">
        <v>1422</v>
      </c>
      <c r="D45">
        <v>228772</v>
      </c>
      <c r="E45" t="s">
        <v>107</v>
      </c>
      <c r="F45" t="s">
        <v>88</v>
      </c>
      <c r="G45">
        <v>18357</v>
      </c>
      <c r="H45">
        <v>17315</v>
      </c>
      <c r="I45">
        <v>35672</v>
      </c>
      <c r="J45">
        <v>392078.94079399999</v>
      </c>
      <c r="K45">
        <v>1310111.2428600001</v>
      </c>
      <c r="L45">
        <v>6.2157960000000001</v>
      </c>
      <c r="M45">
        <v>0</v>
      </c>
    </row>
    <row r="46" spans="1:13" x14ac:dyDescent="0.25">
      <c r="A46">
        <v>44</v>
      </c>
      <c r="B46" t="s">
        <v>75</v>
      </c>
      <c r="C46">
        <v>1669</v>
      </c>
      <c r="D46">
        <v>228772</v>
      </c>
      <c r="E46" t="s">
        <v>108</v>
      </c>
      <c r="F46" t="s">
        <v>88</v>
      </c>
      <c r="G46">
        <v>151030</v>
      </c>
      <c r="H46">
        <v>143637</v>
      </c>
      <c r="I46">
        <v>294667</v>
      </c>
      <c r="J46">
        <v>405938.829157</v>
      </c>
      <c r="K46">
        <v>1303137.7480200001</v>
      </c>
      <c r="L46">
        <v>7.2954730000000003</v>
      </c>
      <c r="M46">
        <v>0</v>
      </c>
    </row>
    <row r="47" spans="1:13" x14ac:dyDescent="0.25">
      <c r="A47">
        <v>45</v>
      </c>
      <c r="B47" t="s">
        <v>75</v>
      </c>
      <c r="C47">
        <v>1153</v>
      </c>
      <c r="D47">
        <v>212341</v>
      </c>
      <c r="E47" t="s">
        <v>109</v>
      </c>
      <c r="F47" t="s">
        <v>88</v>
      </c>
      <c r="G47">
        <v>141944</v>
      </c>
      <c r="H47">
        <v>134305</v>
      </c>
      <c r="I47">
        <v>276249</v>
      </c>
      <c r="J47">
        <v>342793.24705499999</v>
      </c>
      <c r="K47">
        <v>1302651.5162500001</v>
      </c>
      <c r="L47">
        <v>5.429945</v>
      </c>
      <c r="M47">
        <v>0</v>
      </c>
    </row>
    <row r="48" spans="1:13" x14ac:dyDescent="0.25">
      <c r="A48">
        <v>46</v>
      </c>
      <c r="B48" t="s">
        <v>75</v>
      </c>
      <c r="C48">
        <v>1259</v>
      </c>
      <c r="D48">
        <v>185280</v>
      </c>
      <c r="E48" t="s">
        <v>109</v>
      </c>
      <c r="F48" t="s">
        <v>88</v>
      </c>
      <c r="G48">
        <v>141944</v>
      </c>
      <c r="H48">
        <v>134305</v>
      </c>
      <c r="I48">
        <v>276249</v>
      </c>
      <c r="J48">
        <v>357080.48000400001</v>
      </c>
      <c r="K48">
        <v>1302185.1370300001</v>
      </c>
      <c r="L48">
        <v>6.795121</v>
      </c>
      <c r="M48">
        <v>0</v>
      </c>
    </row>
    <row r="49" spans="1:13" x14ac:dyDescent="0.25">
      <c r="A49">
        <v>47</v>
      </c>
      <c r="B49" t="s">
        <v>75</v>
      </c>
      <c r="C49">
        <v>1444</v>
      </c>
      <c r="D49">
        <v>167122</v>
      </c>
      <c r="E49" t="s">
        <v>110</v>
      </c>
      <c r="F49" t="s">
        <v>88</v>
      </c>
      <c r="G49">
        <v>109933</v>
      </c>
      <c r="H49">
        <v>108639</v>
      </c>
      <c r="I49">
        <v>218572</v>
      </c>
      <c r="J49">
        <v>442837.09792199999</v>
      </c>
      <c r="K49">
        <v>1297310.3735799999</v>
      </c>
      <c r="L49">
        <v>8.6403940000000006</v>
      </c>
      <c r="M49">
        <v>0</v>
      </c>
    </row>
    <row r="50" spans="1:13" x14ac:dyDescent="0.25">
      <c r="A50">
        <v>48</v>
      </c>
      <c r="B50" t="s">
        <v>75</v>
      </c>
      <c r="C50">
        <v>1329</v>
      </c>
      <c r="D50">
        <v>212341</v>
      </c>
      <c r="E50" t="s">
        <v>109</v>
      </c>
      <c r="F50" t="s">
        <v>88</v>
      </c>
      <c r="G50">
        <v>141944</v>
      </c>
      <c r="H50">
        <v>134305</v>
      </c>
      <c r="I50">
        <v>276249</v>
      </c>
      <c r="J50">
        <v>350171.39187499997</v>
      </c>
      <c r="K50">
        <v>1294600.3982200001</v>
      </c>
      <c r="L50">
        <v>6.2588010000000001</v>
      </c>
      <c r="M50">
        <v>0</v>
      </c>
    </row>
    <row r="51" spans="1:13" x14ac:dyDescent="0.25">
      <c r="A51">
        <v>49</v>
      </c>
      <c r="B51" t="s">
        <v>75</v>
      </c>
      <c r="C51">
        <v>1259</v>
      </c>
      <c r="D51">
        <v>198284</v>
      </c>
      <c r="E51" t="s">
        <v>111</v>
      </c>
      <c r="F51" t="s">
        <v>79</v>
      </c>
      <c r="G51">
        <v>130762</v>
      </c>
      <c r="H51">
        <v>126139</v>
      </c>
      <c r="I51">
        <v>256901</v>
      </c>
      <c r="J51">
        <v>315550.24427700002</v>
      </c>
      <c r="K51">
        <v>1293031.0380500001</v>
      </c>
      <c r="L51">
        <v>6.3494789999999997</v>
      </c>
      <c r="M51">
        <v>0</v>
      </c>
    </row>
    <row r="52" spans="1:13" x14ac:dyDescent="0.25">
      <c r="A52">
        <v>50</v>
      </c>
      <c r="B52" t="s">
        <v>75</v>
      </c>
      <c r="C52">
        <v>1388</v>
      </c>
      <c r="D52">
        <v>212341</v>
      </c>
      <c r="E52" t="s">
        <v>109</v>
      </c>
      <c r="F52" t="s">
        <v>88</v>
      </c>
      <c r="G52">
        <v>141944</v>
      </c>
      <c r="H52">
        <v>134305</v>
      </c>
      <c r="I52">
        <v>276249</v>
      </c>
      <c r="J52">
        <v>363104.59291000001</v>
      </c>
      <c r="K52">
        <v>1285921.6540999999</v>
      </c>
      <c r="L52">
        <v>6.5366559999999998</v>
      </c>
      <c r="M52">
        <v>0</v>
      </c>
    </row>
    <row r="53" spans="1:13" x14ac:dyDescent="0.25">
      <c r="A53">
        <v>51</v>
      </c>
      <c r="B53" t="s">
        <v>75</v>
      </c>
      <c r="C53">
        <v>1497</v>
      </c>
      <c r="D53">
        <v>296978</v>
      </c>
      <c r="E53" t="s">
        <v>87</v>
      </c>
      <c r="F53" t="s">
        <v>88</v>
      </c>
      <c r="G53">
        <v>194811</v>
      </c>
      <c r="H53">
        <v>189620</v>
      </c>
      <c r="I53">
        <v>384431</v>
      </c>
      <c r="J53">
        <v>398020.11517100001</v>
      </c>
      <c r="K53">
        <v>1283488.7724200001</v>
      </c>
      <c r="L53">
        <v>5.0407770000000003</v>
      </c>
      <c r="M53">
        <v>0</v>
      </c>
    </row>
    <row r="54" spans="1:13" x14ac:dyDescent="0.25">
      <c r="A54">
        <v>52</v>
      </c>
      <c r="B54" t="s">
        <v>75</v>
      </c>
      <c r="C54">
        <v>1273</v>
      </c>
      <c r="D54">
        <v>84158</v>
      </c>
      <c r="E54" t="s">
        <v>112</v>
      </c>
      <c r="F54" t="s">
        <v>88</v>
      </c>
      <c r="G54">
        <v>54466</v>
      </c>
      <c r="H54">
        <v>54359</v>
      </c>
      <c r="I54">
        <v>108825</v>
      </c>
      <c r="J54">
        <v>440054.91263699997</v>
      </c>
      <c r="K54">
        <v>1283368.2269900001</v>
      </c>
      <c r="L54">
        <v>15.12631</v>
      </c>
      <c r="M54">
        <v>0</v>
      </c>
    </row>
    <row r="55" spans="1:13" x14ac:dyDescent="0.25">
      <c r="A55">
        <v>53</v>
      </c>
      <c r="B55" t="s">
        <v>75</v>
      </c>
      <c r="C55">
        <v>1459</v>
      </c>
      <c r="D55">
        <v>238255</v>
      </c>
      <c r="E55" t="s">
        <v>106</v>
      </c>
      <c r="F55" t="s">
        <v>79</v>
      </c>
      <c r="G55">
        <v>157314</v>
      </c>
      <c r="H55">
        <v>152730</v>
      </c>
      <c r="I55">
        <v>310044</v>
      </c>
      <c r="J55">
        <v>271422.79151700001</v>
      </c>
      <c r="K55">
        <v>1283290.82008</v>
      </c>
      <c r="L55">
        <v>6.123691</v>
      </c>
      <c r="M55">
        <v>0</v>
      </c>
    </row>
    <row r="56" spans="1:13" x14ac:dyDescent="0.25">
      <c r="A56">
        <v>54</v>
      </c>
      <c r="B56" t="s">
        <v>75</v>
      </c>
      <c r="C56">
        <v>1303</v>
      </c>
      <c r="D56">
        <v>198284</v>
      </c>
      <c r="E56" t="s">
        <v>113</v>
      </c>
      <c r="F56" t="s">
        <v>114</v>
      </c>
      <c r="G56">
        <v>78955</v>
      </c>
      <c r="H56">
        <v>73832</v>
      </c>
      <c r="I56">
        <v>152787</v>
      </c>
      <c r="J56">
        <v>323625.16762899997</v>
      </c>
      <c r="K56">
        <v>1281279.79844</v>
      </c>
      <c r="L56">
        <v>6.5713819999999998</v>
      </c>
      <c r="M56">
        <v>0</v>
      </c>
    </row>
    <row r="57" spans="1:13" x14ac:dyDescent="0.25">
      <c r="A57">
        <v>55</v>
      </c>
      <c r="B57" t="s">
        <v>75</v>
      </c>
      <c r="C57">
        <v>1182</v>
      </c>
      <c r="D57">
        <v>198284</v>
      </c>
      <c r="E57" t="s">
        <v>111</v>
      </c>
      <c r="F57" t="s">
        <v>79</v>
      </c>
      <c r="G57">
        <v>130762</v>
      </c>
      <c r="H57">
        <v>126139</v>
      </c>
      <c r="I57">
        <v>256901</v>
      </c>
      <c r="J57">
        <v>345152.07644999999</v>
      </c>
      <c r="K57">
        <v>1269608.92851</v>
      </c>
      <c r="L57">
        <v>5.9611470000000004</v>
      </c>
      <c r="M57">
        <v>0</v>
      </c>
    </row>
    <row r="58" spans="1:13" x14ac:dyDescent="0.25">
      <c r="A58">
        <v>56</v>
      </c>
      <c r="B58" t="s">
        <v>75</v>
      </c>
      <c r="C58">
        <v>1441</v>
      </c>
      <c r="D58">
        <v>198284</v>
      </c>
      <c r="E58" t="s">
        <v>111</v>
      </c>
      <c r="F58" t="s">
        <v>79</v>
      </c>
      <c r="G58">
        <v>130762</v>
      </c>
      <c r="H58">
        <v>126139</v>
      </c>
      <c r="I58">
        <v>256901</v>
      </c>
      <c r="J58">
        <v>312396.33131600003</v>
      </c>
      <c r="K58">
        <v>1268572.9425600001</v>
      </c>
      <c r="L58">
        <v>7.2673540000000001</v>
      </c>
      <c r="M58">
        <v>0</v>
      </c>
    </row>
    <row r="59" spans="1:13" x14ac:dyDescent="0.25">
      <c r="A59">
        <v>57</v>
      </c>
      <c r="B59" t="s">
        <v>75</v>
      </c>
      <c r="C59">
        <v>1655</v>
      </c>
      <c r="D59">
        <v>244943</v>
      </c>
      <c r="E59" t="s">
        <v>115</v>
      </c>
      <c r="F59" t="s">
        <v>79</v>
      </c>
      <c r="G59">
        <v>159057</v>
      </c>
      <c r="H59">
        <v>159018</v>
      </c>
      <c r="I59">
        <v>318075</v>
      </c>
      <c r="J59">
        <v>298263.62552</v>
      </c>
      <c r="K59">
        <v>1262284.33094</v>
      </c>
      <c r="L59">
        <v>6.7566740000000003</v>
      </c>
      <c r="M59">
        <v>0</v>
      </c>
    </row>
    <row r="60" spans="1:13" x14ac:dyDescent="0.25">
      <c r="A60">
        <v>58</v>
      </c>
      <c r="B60" t="s">
        <v>75</v>
      </c>
      <c r="C60">
        <v>1390</v>
      </c>
      <c r="D60">
        <v>296978</v>
      </c>
      <c r="E60" t="s">
        <v>87</v>
      </c>
      <c r="F60" t="s">
        <v>88</v>
      </c>
      <c r="G60">
        <v>194811</v>
      </c>
      <c r="H60">
        <v>189620</v>
      </c>
      <c r="I60">
        <v>384431</v>
      </c>
      <c r="J60">
        <v>377243.88213099999</v>
      </c>
      <c r="K60">
        <v>1260383.8033799999</v>
      </c>
      <c r="L60">
        <v>4.6804810000000003</v>
      </c>
      <c r="M60">
        <v>0</v>
      </c>
    </row>
    <row r="61" spans="1:13" x14ac:dyDescent="0.25">
      <c r="A61">
        <v>59</v>
      </c>
      <c r="B61" t="s">
        <v>75</v>
      </c>
      <c r="C61">
        <v>1612</v>
      </c>
      <c r="D61">
        <v>244943</v>
      </c>
      <c r="E61" t="s">
        <v>115</v>
      </c>
      <c r="F61" t="s">
        <v>79</v>
      </c>
      <c r="G61">
        <v>159057</v>
      </c>
      <c r="H61">
        <v>159018</v>
      </c>
      <c r="I61">
        <v>318075</v>
      </c>
      <c r="J61">
        <v>286177.45782000001</v>
      </c>
      <c r="K61">
        <v>1256599.7056199999</v>
      </c>
      <c r="L61">
        <v>6.5811229999999998</v>
      </c>
      <c r="M61">
        <v>0</v>
      </c>
    </row>
    <row r="62" spans="1:13" x14ac:dyDescent="0.25">
      <c r="A62">
        <v>60</v>
      </c>
      <c r="B62" t="s">
        <v>75</v>
      </c>
      <c r="C62">
        <v>1528</v>
      </c>
      <c r="D62">
        <v>238255</v>
      </c>
      <c r="E62" t="s">
        <v>106</v>
      </c>
      <c r="F62" t="s">
        <v>79</v>
      </c>
      <c r="G62">
        <v>157314</v>
      </c>
      <c r="H62">
        <v>152730</v>
      </c>
      <c r="I62">
        <v>310044</v>
      </c>
      <c r="J62">
        <v>276608.49034399999</v>
      </c>
      <c r="K62">
        <v>1256264.97331</v>
      </c>
      <c r="L62">
        <v>6.413297</v>
      </c>
      <c r="M62">
        <v>0</v>
      </c>
    </row>
    <row r="63" spans="1:13" x14ac:dyDescent="0.25">
      <c r="A63">
        <v>61</v>
      </c>
      <c r="B63" t="s">
        <v>75</v>
      </c>
      <c r="C63">
        <v>1444</v>
      </c>
      <c r="D63">
        <v>244803</v>
      </c>
      <c r="E63" t="s">
        <v>116</v>
      </c>
      <c r="F63" t="s">
        <v>79</v>
      </c>
      <c r="G63">
        <v>157270</v>
      </c>
      <c r="H63">
        <v>160746</v>
      </c>
      <c r="I63">
        <v>318016</v>
      </c>
      <c r="J63">
        <v>344459.79037100001</v>
      </c>
      <c r="K63">
        <v>1254043.3208300001</v>
      </c>
      <c r="L63">
        <v>5.8986210000000003</v>
      </c>
      <c r="M63">
        <v>0</v>
      </c>
    </row>
    <row r="64" spans="1:13" x14ac:dyDescent="0.25">
      <c r="A64">
        <v>62</v>
      </c>
      <c r="B64" t="s">
        <v>75</v>
      </c>
      <c r="C64">
        <v>1478</v>
      </c>
      <c r="D64">
        <v>244803</v>
      </c>
      <c r="E64" t="s">
        <v>116</v>
      </c>
      <c r="F64" t="s">
        <v>79</v>
      </c>
      <c r="G64">
        <v>157270</v>
      </c>
      <c r="H64">
        <v>160746</v>
      </c>
      <c r="I64">
        <v>318016</v>
      </c>
      <c r="J64">
        <v>335056.54715599999</v>
      </c>
      <c r="K64">
        <v>1245397.2086100001</v>
      </c>
      <c r="L64">
        <v>6.0375079999999999</v>
      </c>
      <c r="M64">
        <v>0</v>
      </c>
    </row>
    <row r="65" spans="1:13" x14ac:dyDescent="0.25">
      <c r="A65">
        <v>63</v>
      </c>
      <c r="B65" t="s">
        <v>75</v>
      </c>
      <c r="C65">
        <v>1476</v>
      </c>
      <c r="D65">
        <v>149091</v>
      </c>
      <c r="E65" t="s">
        <v>117</v>
      </c>
      <c r="F65" t="s">
        <v>81</v>
      </c>
      <c r="G65">
        <v>98120</v>
      </c>
      <c r="H65">
        <v>98720</v>
      </c>
      <c r="I65">
        <v>196840</v>
      </c>
      <c r="J65">
        <v>263354.81132600002</v>
      </c>
      <c r="K65">
        <v>1244950.7429</v>
      </c>
      <c r="L65">
        <v>9.8999939999999995</v>
      </c>
      <c r="M65">
        <v>0</v>
      </c>
    </row>
    <row r="66" spans="1:13" x14ac:dyDescent="0.25">
      <c r="A66">
        <v>64</v>
      </c>
      <c r="B66" t="s">
        <v>75</v>
      </c>
      <c r="C66">
        <v>1422</v>
      </c>
      <c r="D66">
        <v>244803</v>
      </c>
      <c r="E66" t="s">
        <v>116</v>
      </c>
      <c r="F66" t="s">
        <v>79</v>
      </c>
      <c r="G66">
        <v>157270</v>
      </c>
      <c r="H66">
        <v>160746</v>
      </c>
      <c r="I66">
        <v>318016</v>
      </c>
      <c r="J66">
        <v>356629.74161700002</v>
      </c>
      <c r="K66">
        <v>1240782.5806400001</v>
      </c>
      <c r="L66">
        <v>5.8087520000000001</v>
      </c>
      <c r="M66">
        <v>0</v>
      </c>
    </row>
    <row r="67" spans="1:13" x14ac:dyDescent="0.25">
      <c r="A67">
        <v>65</v>
      </c>
      <c r="B67" t="s">
        <v>75</v>
      </c>
      <c r="C67">
        <v>1124</v>
      </c>
      <c r="D67">
        <v>187799</v>
      </c>
      <c r="E67" t="s">
        <v>118</v>
      </c>
      <c r="F67" t="s">
        <v>88</v>
      </c>
      <c r="G67">
        <v>120655</v>
      </c>
      <c r="H67">
        <v>121859</v>
      </c>
      <c r="I67">
        <v>242514</v>
      </c>
      <c r="J67">
        <v>430308.54052400001</v>
      </c>
      <c r="K67">
        <v>1239210.5637300001</v>
      </c>
      <c r="L67">
        <v>5.9851219999999996</v>
      </c>
      <c r="M67">
        <v>0</v>
      </c>
    </row>
    <row r="68" spans="1:13" x14ac:dyDescent="0.25">
      <c r="A68">
        <v>66</v>
      </c>
      <c r="B68" t="s">
        <v>75</v>
      </c>
      <c r="C68">
        <v>1875</v>
      </c>
      <c r="D68">
        <v>97446</v>
      </c>
      <c r="E68" t="s">
        <v>80</v>
      </c>
      <c r="F68" t="s">
        <v>81</v>
      </c>
      <c r="G68">
        <v>62529</v>
      </c>
      <c r="H68">
        <v>63903</v>
      </c>
      <c r="I68">
        <v>126432</v>
      </c>
      <c r="J68">
        <v>268962.41968799999</v>
      </c>
      <c r="K68">
        <v>1225683.01037</v>
      </c>
      <c r="L68">
        <v>19.241426000000001</v>
      </c>
      <c r="M68">
        <v>0</v>
      </c>
    </row>
    <row r="69" spans="1:13" x14ac:dyDescent="0.25">
      <c r="A69">
        <v>67</v>
      </c>
      <c r="B69" t="s">
        <v>75</v>
      </c>
      <c r="C69">
        <v>1315</v>
      </c>
      <c r="D69">
        <v>199352</v>
      </c>
      <c r="E69" t="s">
        <v>119</v>
      </c>
      <c r="F69" t="s">
        <v>83</v>
      </c>
      <c r="G69">
        <v>130741</v>
      </c>
      <c r="H69">
        <v>131338</v>
      </c>
      <c r="I69">
        <v>262079</v>
      </c>
      <c r="J69">
        <v>377847.12121499999</v>
      </c>
      <c r="K69">
        <v>1224681.84039</v>
      </c>
      <c r="L69">
        <v>6.5963719999999997</v>
      </c>
      <c r="M69">
        <v>0</v>
      </c>
    </row>
    <row r="70" spans="1:13" x14ac:dyDescent="0.25">
      <c r="A70">
        <v>68</v>
      </c>
      <c r="B70" t="s">
        <v>75</v>
      </c>
      <c r="C70">
        <v>1751</v>
      </c>
      <c r="D70">
        <v>97446</v>
      </c>
      <c r="E70" t="s">
        <v>80</v>
      </c>
      <c r="F70" t="s">
        <v>81</v>
      </c>
      <c r="G70">
        <v>62529</v>
      </c>
      <c r="H70">
        <v>63903</v>
      </c>
      <c r="I70">
        <v>126432</v>
      </c>
      <c r="J70">
        <v>285754.71375</v>
      </c>
      <c r="K70">
        <v>1223650.6285300001</v>
      </c>
      <c r="L70">
        <v>17.968926</v>
      </c>
      <c r="M70">
        <v>0</v>
      </c>
    </row>
    <row r="71" spans="1:13" x14ac:dyDescent="0.25">
      <c r="A71">
        <v>69</v>
      </c>
      <c r="B71" t="s">
        <v>75</v>
      </c>
      <c r="C71">
        <v>1677</v>
      </c>
      <c r="D71">
        <v>97446</v>
      </c>
      <c r="E71" t="s">
        <v>84</v>
      </c>
      <c r="F71" t="s">
        <v>81</v>
      </c>
      <c r="G71">
        <v>97851</v>
      </c>
      <c r="H71">
        <v>100201</v>
      </c>
      <c r="I71">
        <v>198052</v>
      </c>
      <c r="J71">
        <v>247039.828121</v>
      </c>
      <c r="K71">
        <v>1217235.5318700001</v>
      </c>
      <c r="L71">
        <v>17.209530999999998</v>
      </c>
      <c r="M71">
        <v>0</v>
      </c>
    </row>
    <row r="72" spans="1:13" x14ac:dyDescent="0.25">
      <c r="A72">
        <v>70</v>
      </c>
      <c r="B72" t="s">
        <v>75</v>
      </c>
      <c r="C72">
        <v>1910</v>
      </c>
      <c r="D72">
        <v>85950</v>
      </c>
      <c r="E72" t="s">
        <v>78</v>
      </c>
      <c r="F72" t="s">
        <v>79</v>
      </c>
      <c r="G72">
        <v>55633</v>
      </c>
      <c r="H72">
        <v>55293</v>
      </c>
      <c r="I72">
        <v>110926</v>
      </c>
      <c r="J72">
        <v>305550.752202</v>
      </c>
      <c r="K72">
        <v>1215500.6270900001</v>
      </c>
      <c r="L72">
        <v>22.222221999999999</v>
      </c>
      <c r="M72">
        <v>0</v>
      </c>
    </row>
    <row r="73" spans="1:13" x14ac:dyDescent="0.25">
      <c r="A73">
        <v>71</v>
      </c>
      <c r="B73" t="s">
        <v>75</v>
      </c>
      <c r="C73">
        <v>1466</v>
      </c>
      <c r="D73">
        <v>137437</v>
      </c>
      <c r="E73" t="s">
        <v>120</v>
      </c>
      <c r="F73" t="s">
        <v>79</v>
      </c>
      <c r="G73">
        <v>87837</v>
      </c>
      <c r="H73">
        <v>89229</v>
      </c>
      <c r="I73">
        <v>177066</v>
      </c>
      <c r="J73">
        <v>327963.01116699999</v>
      </c>
      <c r="K73">
        <v>1215468.2422100001</v>
      </c>
      <c r="L73">
        <v>10.666705</v>
      </c>
      <c r="M73">
        <v>0</v>
      </c>
    </row>
    <row r="74" spans="1:13" x14ac:dyDescent="0.25">
      <c r="A74">
        <v>72</v>
      </c>
      <c r="B74" t="s">
        <v>75</v>
      </c>
      <c r="C74">
        <v>1915</v>
      </c>
      <c r="D74">
        <v>151950</v>
      </c>
      <c r="E74" t="s">
        <v>84</v>
      </c>
      <c r="F74" t="s">
        <v>81</v>
      </c>
      <c r="G74">
        <v>97851</v>
      </c>
      <c r="H74">
        <v>100201</v>
      </c>
      <c r="I74">
        <v>198052</v>
      </c>
      <c r="J74">
        <v>272995.940756</v>
      </c>
      <c r="K74">
        <v>1214690.6444600001</v>
      </c>
      <c r="L74">
        <v>12.602830000000001</v>
      </c>
      <c r="M74">
        <v>0</v>
      </c>
    </row>
    <row r="75" spans="1:13" x14ac:dyDescent="0.25">
      <c r="A75">
        <v>73</v>
      </c>
      <c r="B75" t="s">
        <v>75</v>
      </c>
      <c r="C75">
        <v>1138</v>
      </c>
      <c r="D75">
        <v>199352</v>
      </c>
      <c r="E75" t="s">
        <v>119</v>
      </c>
      <c r="F75" t="s">
        <v>83</v>
      </c>
      <c r="G75">
        <v>130741</v>
      </c>
      <c r="H75">
        <v>131338</v>
      </c>
      <c r="I75">
        <v>262079</v>
      </c>
      <c r="J75">
        <v>387562.32715299999</v>
      </c>
      <c r="K75">
        <v>1212987.22416</v>
      </c>
      <c r="L75">
        <v>5.7084960000000002</v>
      </c>
      <c r="M75">
        <v>0</v>
      </c>
    </row>
    <row r="76" spans="1:13" x14ac:dyDescent="0.25">
      <c r="A76">
        <v>74</v>
      </c>
      <c r="B76" t="s">
        <v>75</v>
      </c>
      <c r="C76">
        <v>1583</v>
      </c>
      <c r="D76">
        <v>147624</v>
      </c>
      <c r="E76" t="s">
        <v>121</v>
      </c>
      <c r="F76" t="s">
        <v>81</v>
      </c>
      <c r="G76">
        <v>98599</v>
      </c>
      <c r="H76">
        <v>98497</v>
      </c>
      <c r="I76">
        <v>197096</v>
      </c>
      <c r="J76">
        <v>227728.65721599999</v>
      </c>
      <c r="K76">
        <v>1212001.4245199999</v>
      </c>
      <c r="L76">
        <v>10.723189</v>
      </c>
      <c r="M76">
        <v>0</v>
      </c>
    </row>
    <row r="77" spans="1:13" x14ac:dyDescent="0.25">
      <c r="A77">
        <v>75</v>
      </c>
      <c r="B77" t="s">
        <v>75</v>
      </c>
      <c r="C77">
        <v>1918</v>
      </c>
      <c r="D77">
        <v>151950</v>
      </c>
      <c r="E77" t="s">
        <v>84</v>
      </c>
      <c r="F77" t="s">
        <v>81</v>
      </c>
      <c r="G77">
        <v>97851</v>
      </c>
      <c r="H77">
        <v>100201</v>
      </c>
      <c r="I77">
        <v>198052</v>
      </c>
      <c r="J77">
        <v>274194.09424000001</v>
      </c>
      <c r="K77">
        <v>1211843.14668</v>
      </c>
      <c r="L77">
        <v>12.622572999999999</v>
      </c>
      <c r="M77">
        <v>0</v>
      </c>
    </row>
    <row r="78" spans="1:13" x14ac:dyDescent="0.25">
      <c r="A78">
        <v>76</v>
      </c>
      <c r="B78" t="s">
        <v>75</v>
      </c>
      <c r="C78">
        <v>1077</v>
      </c>
      <c r="D78">
        <v>115412</v>
      </c>
      <c r="E78" t="s">
        <v>122</v>
      </c>
      <c r="F78" t="s">
        <v>83</v>
      </c>
      <c r="G78">
        <v>74089</v>
      </c>
      <c r="H78">
        <v>75269</v>
      </c>
      <c r="I78">
        <v>149358</v>
      </c>
      <c r="J78">
        <v>400125.56392500002</v>
      </c>
      <c r="K78">
        <v>1208285.22544</v>
      </c>
      <c r="L78">
        <v>9.331785</v>
      </c>
      <c r="M78">
        <v>0</v>
      </c>
    </row>
    <row r="79" spans="1:13" x14ac:dyDescent="0.25">
      <c r="A79">
        <v>77</v>
      </c>
      <c r="B79" t="s">
        <v>75</v>
      </c>
      <c r="C79">
        <v>1197</v>
      </c>
      <c r="D79">
        <v>199352</v>
      </c>
      <c r="E79" t="s">
        <v>119</v>
      </c>
      <c r="F79" t="s">
        <v>83</v>
      </c>
      <c r="G79">
        <v>130741</v>
      </c>
      <c r="H79">
        <v>131338</v>
      </c>
      <c r="I79">
        <v>262079</v>
      </c>
      <c r="J79">
        <v>378421.83447399997</v>
      </c>
      <c r="K79">
        <v>1207895.35666</v>
      </c>
      <c r="L79">
        <v>6.004454</v>
      </c>
      <c r="M79">
        <v>0</v>
      </c>
    </row>
    <row r="80" spans="1:13" x14ac:dyDescent="0.25">
      <c r="A80">
        <v>78</v>
      </c>
      <c r="B80" t="s">
        <v>75</v>
      </c>
      <c r="C80">
        <v>1906</v>
      </c>
      <c r="D80">
        <v>151950</v>
      </c>
      <c r="E80" t="s">
        <v>84</v>
      </c>
      <c r="F80" t="s">
        <v>81</v>
      </c>
      <c r="G80">
        <v>97851</v>
      </c>
      <c r="H80">
        <v>100201</v>
      </c>
      <c r="I80">
        <v>198052</v>
      </c>
      <c r="J80">
        <v>277856.18073700002</v>
      </c>
      <c r="K80">
        <v>1205202.7763199999</v>
      </c>
      <c r="L80">
        <v>12.5436</v>
      </c>
      <c r="M80">
        <v>0</v>
      </c>
    </row>
    <row r="81" spans="1:13" x14ac:dyDescent="0.25">
      <c r="A81">
        <v>79</v>
      </c>
      <c r="B81" t="s">
        <v>75</v>
      </c>
      <c r="C81">
        <v>1057</v>
      </c>
      <c r="D81">
        <v>108649</v>
      </c>
      <c r="E81" t="s">
        <v>123</v>
      </c>
      <c r="F81" t="s">
        <v>83</v>
      </c>
      <c r="G81">
        <v>70007</v>
      </c>
      <c r="H81">
        <v>71723</v>
      </c>
      <c r="I81">
        <v>141730</v>
      </c>
      <c r="J81">
        <v>421686.29204099998</v>
      </c>
      <c r="K81">
        <v>1200617.97798</v>
      </c>
      <c r="L81">
        <v>9.7285760000000003</v>
      </c>
      <c r="M81">
        <v>0</v>
      </c>
    </row>
    <row r="82" spans="1:13" x14ac:dyDescent="0.25">
      <c r="A82">
        <v>80</v>
      </c>
      <c r="B82" t="s">
        <v>75</v>
      </c>
      <c r="C82">
        <v>1797</v>
      </c>
      <c r="D82">
        <v>170974</v>
      </c>
      <c r="E82" t="s">
        <v>124</v>
      </c>
      <c r="F82" t="s">
        <v>81</v>
      </c>
      <c r="G82">
        <v>109148</v>
      </c>
      <c r="H82">
        <v>112742</v>
      </c>
      <c r="I82">
        <v>221890</v>
      </c>
      <c r="J82">
        <v>269723.52990800003</v>
      </c>
      <c r="K82">
        <v>1200540.4103999999</v>
      </c>
      <c r="L82">
        <v>10.51037</v>
      </c>
      <c r="M82">
        <v>0</v>
      </c>
    </row>
    <row r="83" spans="1:13" x14ac:dyDescent="0.25">
      <c r="A83">
        <v>81</v>
      </c>
      <c r="B83" t="s">
        <v>75</v>
      </c>
      <c r="C83">
        <v>1847</v>
      </c>
      <c r="D83">
        <v>151950</v>
      </c>
      <c r="E83" t="s">
        <v>84</v>
      </c>
      <c r="F83" t="s">
        <v>81</v>
      </c>
      <c r="G83">
        <v>97851</v>
      </c>
      <c r="H83">
        <v>100201</v>
      </c>
      <c r="I83">
        <v>198052</v>
      </c>
      <c r="J83">
        <v>283554.73511399998</v>
      </c>
      <c r="K83">
        <v>1200447.4029399999</v>
      </c>
      <c r="L83">
        <v>12.155314000000001</v>
      </c>
      <c r="M83">
        <v>0</v>
      </c>
    </row>
    <row r="84" spans="1:13" x14ac:dyDescent="0.25">
      <c r="A84">
        <v>82</v>
      </c>
      <c r="B84" t="s">
        <v>75</v>
      </c>
      <c r="C84">
        <v>1678</v>
      </c>
      <c r="D84">
        <v>130939</v>
      </c>
      <c r="E84" t="s">
        <v>125</v>
      </c>
      <c r="F84" t="s">
        <v>79</v>
      </c>
      <c r="G84">
        <v>83156</v>
      </c>
      <c r="H84">
        <v>85498</v>
      </c>
      <c r="I84">
        <v>168654</v>
      </c>
      <c r="J84">
        <v>346955.95550799998</v>
      </c>
      <c r="K84">
        <v>1200158.99957</v>
      </c>
      <c r="L84">
        <v>12.815128</v>
      </c>
      <c r="M84">
        <v>0</v>
      </c>
    </row>
    <row r="85" spans="1:13" x14ac:dyDescent="0.25">
      <c r="A85">
        <v>83</v>
      </c>
      <c r="B85" t="s">
        <v>75</v>
      </c>
      <c r="C85">
        <v>1487</v>
      </c>
      <c r="D85">
        <v>83231</v>
      </c>
      <c r="E85" t="s">
        <v>82</v>
      </c>
      <c r="F85" t="s">
        <v>83</v>
      </c>
      <c r="G85">
        <v>52697</v>
      </c>
      <c r="H85">
        <v>54698</v>
      </c>
      <c r="I85">
        <v>107395</v>
      </c>
      <c r="J85">
        <v>362781.65927399998</v>
      </c>
      <c r="K85">
        <v>1199949.1191499999</v>
      </c>
      <c r="L85">
        <v>17.865939000000001</v>
      </c>
      <c r="M85">
        <v>0</v>
      </c>
    </row>
    <row r="86" spans="1:13" x14ac:dyDescent="0.25">
      <c r="A86">
        <v>84</v>
      </c>
      <c r="B86" t="s">
        <v>75</v>
      </c>
      <c r="C86">
        <v>1712</v>
      </c>
      <c r="D86">
        <v>214714</v>
      </c>
      <c r="E86" t="s">
        <v>126</v>
      </c>
      <c r="F86" t="s">
        <v>79</v>
      </c>
      <c r="G86">
        <v>139627</v>
      </c>
      <c r="H86">
        <v>141683</v>
      </c>
      <c r="I86">
        <v>281310</v>
      </c>
      <c r="J86">
        <v>299612.00018700003</v>
      </c>
      <c r="K86">
        <v>1199162.6459999999</v>
      </c>
      <c r="L86">
        <v>7.9733970000000003</v>
      </c>
      <c r="M86">
        <v>0</v>
      </c>
    </row>
    <row r="87" spans="1:13" x14ac:dyDescent="0.25">
      <c r="A87">
        <v>85</v>
      </c>
      <c r="B87" t="s">
        <v>75</v>
      </c>
      <c r="C87">
        <v>1086</v>
      </c>
      <c r="D87">
        <v>115412</v>
      </c>
      <c r="E87" t="s">
        <v>122</v>
      </c>
      <c r="F87" t="s">
        <v>83</v>
      </c>
      <c r="G87">
        <v>74089</v>
      </c>
      <c r="H87">
        <v>75269</v>
      </c>
      <c r="I87">
        <v>149358</v>
      </c>
      <c r="J87">
        <v>393814.62936000002</v>
      </c>
      <c r="K87">
        <v>1196474.48814</v>
      </c>
      <c r="L87">
        <v>9.4097670000000004</v>
      </c>
      <c r="M87">
        <v>0</v>
      </c>
    </row>
    <row r="88" spans="1:13" x14ac:dyDescent="0.25">
      <c r="A88">
        <v>86</v>
      </c>
      <c r="B88" t="s">
        <v>75</v>
      </c>
      <c r="C88">
        <v>1468</v>
      </c>
      <c r="D88">
        <v>194942</v>
      </c>
      <c r="E88" t="s">
        <v>127</v>
      </c>
      <c r="F88" t="s">
        <v>79</v>
      </c>
      <c r="G88">
        <v>128859</v>
      </c>
      <c r="H88">
        <v>128809</v>
      </c>
      <c r="I88">
        <v>257668</v>
      </c>
      <c r="J88">
        <v>308326.57762400003</v>
      </c>
      <c r="K88">
        <v>1194093.8562400001</v>
      </c>
      <c r="L88">
        <v>7.5304450000000003</v>
      </c>
      <c r="M88">
        <v>0</v>
      </c>
    </row>
    <row r="89" spans="1:13" x14ac:dyDescent="0.25">
      <c r="A89">
        <v>87</v>
      </c>
      <c r="B89" t="s">
        <v>75</v>
      </c>
      <c r="C89">
        <v>1719</v>
      </c>
      <c r="D89">
        <v>130939</v>
      </c>
      <c r="E89" t="s">
        <v>125</v>
      </c>
      <c r="F89" t="s">
        <v>79</v>
      </c>
      <c r="G89">
        <v>83156</v>
      </c>
      <c r="H89">
        <v>85498</v>
      </c>
      <c r="I89">
        <v>168654</v>
      </c>
      <c r="J89">
        <v>352371.44695700001</v>
      </c>
      <c r="K89">
        <v>1190673.50645</v>
      </c>
      <c r="L89">
        <v>13.128251000000001</v>
      </c>
      <c r="M89">
        <v>0</v>
      </c>
    </row>
    <row r="90" spans="1:13" x14ac:dyDescent="0.25">
      <c r="A90">
        <v>88</v>
      </c>
      <c r="B90" t="s">
        <v>75</v>
      </c>
      <c r="C90">
        <v>1643</v>
      </c>
      <c r="D90">
        <v>170974</v>
      </c>
      <c r="E90" t="s">
        <v>124</v>
      </c>
      <c r="F90" t="s">
        <v>81</v>
      </c>
      <c r="G90">
        <v>109148</v>
      </c>
      <c r="H90">
        <v>112742</v>
      </c>
      <c r="I90">
        <v>221890</v>
      </c>
      <c r="J90">
        <v>261007.14199100001</v>
      </c>
      <c r="K90">
        <v>1190571.17511</v>
      </c>
      <c r="L90">
        <v>9.609648</v>
      </c>
      <c r="M90">
        <v>0</v>
      </c>
    </row>
    <row r="91" spans="1:13" x14ac:dyDescent="0.25">
      <c r="A91">
        <v>89</v>
      </c>
      <c r="B91" t="s">
        <v>75</v>
      </c>
      <c r="C91">
        <v>1075</v>
      </c>
      <c r="D91">
        <v>124720</v>
      </c>
      <c r="E91" t="s">
        <v>128</v>
      </c>
      <c r="F91" t="s">
        <v>83</v>
      </c>
      <c r="G91">
        <v>80376</v>
      </c>
      <c r="H91">
        <v>82722</v>
      </c>
      <c r="I91">
        <v>163098</v>
      </c>
      <c r="J91">
        <v>397005.84295700002</v>
      </c>
      <c r="K91">
        <v>1187755.49529</v>
      </c>
      <c r="L91">
        <v>8.6193069999999992</v>
      </c>
      <c r="M91">
        <v>0</v>
      </c>
    </row>
    <row r="92" spans="1:13" x14ac:dyDescent="0.25">
      <c r="A92">
        <v>90</v>
      </c>
      <c r="B92" t="s">
        <v>75</v>
      </c>
      <c r="C92">
        <v>1676</v>
      </c>
      <c r="D92">
        <v>170974</v>
      </c>
      <c r="E92" t="s">
        <v>124</v>
      </c>
      <c r="F92" t="s">
        <v>81</v>
      </c>
      <c r="G92">
        <v>109148</v>
      </c>
      <c r="H92">
        <v>112742</v>
      </c>
      <c r="I92">
        <v>221890</v>
      </c>
      <c r="J92">
        <v>276600.10874499998</v>
      </c>
      <c r="K92">
        <v>1185631.4209</v>
      </c>
      <c r="L92">
        <v>9.8026599999999995</v>
      </c>
      <c r="M92">
        <v>0</v>
      </c>
    </row>
    <row r="93" spans="1:13" x14ac:dyDescent="0.25">
      <c r="A93">
        <v>91</v>
      </c>
      <c r="B93" t="s">
        <v>75</v>
      </c>
      <c r="C93">
        <v>1657</v>
      </c>
      <c r="D93">
        <v>214714</v>
      </c>
      <c r="E93" t="s">
        <v>126</v>
      </c>
      <c r="F93" t="s">
        <v>79</v>
      </c>
      <c r="G93">
        <v>139627</v>
      </c>
      <c r="H93">
        <v>141683</v>
      </c>
      <c r="I93">
        <v>281310</v>
      </c>
      <c r="J93">
        <v>288541.25342299999</v>
      </c>
      <c r="K93">
        <v>1184880.1651699999</v>
      </c>
      <c r="L93">
        <v>7.7172419999999997</v>
      </c>
      <c r="M93">
        <v>0</v>
      </c>
    </row>
    <row r="94" spans="1:13" x14ac:dyDescent="0.25">
      <c r="A94">
        <v>92</v>
      </c>
      <c r="B94" t="s">
        <v>75</v>
      </c>
      <c r="C94">
        <v>1545</v>
      </c>
      <c r="D94">
        <v>147624</v>
      </c>
      <c r="E94" t="s">
        <v>121</v>
      </c>
      <c r="F94" t="s">
        <v>81</v>
      </c>
      <c r="G94">
        <v>98599</v>
      </c>
      <c r="H94">
        <v>98497</v>
      </c>
      <c r="I94">
        <v>197096</v>
      </c>
      <c r="J94">
        <v>226076.42176299999</v>
      </c>
      <c r="K94">
        <v>1184546.95306</v>
      </c>
      <c r="L94">
        <v>10.465778</v>
      </c>
      <c r="M94">
        <v>0</v>
      </c>
    </row>
    <row r="95" spans="1:13" x14ac:dyDescent="0.25">
      <c r="A95">
        <v>93</v>
      </c>
      <c r="B95" t="s">
        <v>75</v>
      </c>
      <c r="C95">
        <v>1482</v>
      </c>
      <c r="D95">
        <v>194942</v>
      </c>
      <c r="E95" t="s">
        <v>127</v>
      </c>
      <c r="F95" t="s">
        <v>79</v>
      </c>
      <c r="G95">
        <v>128859</v>
      </c>
      <c r="H95">
        <v>128809</v>
      </c>
      <c r="I95">
        <v>257668</v>
      </c>
      <c r="J95">
        <v>300106.554474</v>
      </c>
      <c r="K95">
        <v>1183451.6606000001</v>
      </c>
      <c r="L95">
        <v>7.6022610000000004</v>
      </c>
      <c r="M95">
        <v>0</v>
      </c>
    </row>
    <row r="96" spans="1:13" x14ac:dyDescent="0.25">
      <c r="A96">
        <v>94</v>
      </c>
      <c r="B96" t="s">
        <v>75</v>
      </c>
      <c r="C96">
        <v>1248</v>
      </c>
      <c r="D96">
        <v>194942</v>
      </c>
      <c r="E96" t="s">
        <v>127</v>
      </c>
      <c r="F96" t="s">
        <v>79</v>
      </c>
      <c r="G96">
        <v>128859</v>
      </c>
      <c r="H96">
        <v>128809</v>
      </c>
      <c r="I96">
        <v>257668</v>
      </c>
      <c r="J96">
        <v>309553.73238599999</v>
      </c>
      <c r="K96">
        <v>1181564.1577600001</v>
      </c>
      <c r="L96">
        <v>6.401904</v>
      </c>
      <c r="M96">
        <v>0</v>
      </c>
    </row>
    <row r="97" spans="1:13" x14ac:dyDescent="0.25">
      <c r="A97">
        <v>95</v>
      </c>
      <c r="B97" t="s">
        <v>75</v>
      </c>
      <c r="C97">
        <v>1159</v>
      </c>
      <c r="D97">
        <v>194942</v>
      </c>
      <c r="E97" t="s">
        <v>127</v>
      </c>
      <c r="F97" t="s">
        <v>79</v>
      </c>
      <c r="G97">
        <v>128859</v>
      </c>
      <c r="H97">
        <v>128809</v>
      </c>
      <c r="I97">
        <v>257668</v>
      </c>
      <c r="J97">
        <v>321973.87705499999</v>
      </c>
      <c r="K97">
        <v>1180964.90261</v>
      </c>
      <c r="L97">
        <v>5.9453579999999997</v>
      </c>
      <c r="M97">
        <v>0</v>
      </c>
    </row>
    <row r="98" spans="1:13" x14ac:dyDescent="0.25">
      <c r="A98">
        <v>96</v>
      </c>
      <c r="B98" t="s">
        <v>75</v>
      </c>
      <c r="C98">
        <v>1473</v>
      </c>
      <c r="D98">
        <v>89456</v>
      </c>
      <c r="E98" t="s">
        <v>129</v>
      </c>
      <c r="F98" t="s">
        <v>79</v>
      </c>
      <c r="G98">
        <v>59175</v>
      </c>
      <c r="H98">
        <v>59100</v>
      </c>
      <c r="I98">
        <v>118275</v>
      </c>
      <c r="J98">
        <v>339591.76727399998</v>
      </c>
      <c r="K98">
        <v>1180687.5204400001</v>
      </c>
      <c r="L98">
        <v>16.466196</v>
      </c>
      <c r="M98">
        <v>0</v>
      </c>
    </row>
    <row r="99" spans="1:13" x14ac:dyDescent="0.25">
      <c r="A99">
        <v>97</v>
      </c>
      <c r="B99" t="s">
        <v>75</v>
      </c>
      <c r="C99">
        <v>777</v>
      </c>
      <c r="D99">
        <v>124720</v>
      </c>
      <c r="E99" t="s">
        <v>128</v>
      </c>
      <c r="F99" t="s">
        <v>83</v>
      </c>
      <c r="G99">
        <v>80376</v>
      </c>
      <c r="H99">
        <v>82722</v>
      </c>
      <c r="I99">
        <v>163098</v>
      </c>
      <c r="J99">
        <v>408226.04947500001</v>
      </c>
      <c r="K99">
        <v>1178318.8759900001</v>
      </c>
      <c r="L99">
        <v>6.2299550000000004</v>
      </c>
      <c r="M99">
        <v>0</v>
      </c>
    </row>
    <row r="100" spans="1:13" x14ac:dyDescent="0.25">
      <c r="A100">
        <v>98</v>
      </c>
      <c r="B100" t="s">
        <v>75</v>
      </c>
      <c r="C100">
        <v>1535</v>
      </c>
      <c r="D100">
        <v>214714</v>
      </c>
      <c r="E100" t="s">
        <v>126</v>
      </c>
      <c r="F100" t="s">
        <v>79</v>
      </c>
      <c r="G100">
        <v>139627</v>
      </c>
      <c r="H100">
        <v>141683</v>
      </c>
      <c r="I100">
        <v>281310</v>
      </c>
      <c r="J100">
        <v>275673.10533300001</v>
      </c>
      <c r="K100">
        <v>1177946.1785800001</v>
      </c>
      <c r="L100">
        <v>7.1490450000000001</v>
      </c>
      <c r="M100">
        <v>0</v>
      </c>
    </row>
    <row r="101" spans="1:13" x14ac:dyDescent="0.25">
      <c r="A101">
        <v>99</v>
      </c>
      <c r="B101" t="s">
        <v>75</v>
      </c>
      <c r="C101">
        <v>1377</v>
      </c>
      <c r="D101">
        <v>188472</v>
      </c>
      <c r="E101" t="s">
        <v>130</v>
      </c>
      <c r="F101" t="s">
        <v>83</v>
      </c>
      <c r="G101">
        <v>121412</v>
      </c>
      <c r="H101">
        <v>123447</v>
      </c>
      <c r="I101">
        <v>244859</v>
      </c>
      <c r="J101">
        <v>356565.49874499999</v>
      </c>
      <c r="K101">
        <v>1171449.8972100001</v>
      </c>
      <c r="L101">
        <v>7.3061249999999998</v>
      </c>
      <c r="M101">
        <v>0</v>
      </c>
    </row>
    <row r="102" spans="1:13" x14ac:dyDescent="0.25">
      <c r="A102">
        <v>100</v>
      </c>
      <c r="B102" t="s">
        <v>75</v>
      </c>
      <c r="C102">
        <v>1142</v>
      </c>
      <c r="D102">
        <v>188472</v>
      </c>
      <c r="E102" t="s">
        <v>130</v>
      </c>
      <c r="F102" t="s">
        <v>83</v>
      </c>
      <c r="G102">
        <v>121412</v>
      </c>
      <c r="H102">
        <v>123447</v>
      </c>
      <c r="I102">
        <v>244859</v>
      </c>
      <c r="J102">
        <v>345618.91389000003</v>
      </c>
      <c r="K102">
        <v>1169753.2777799999</v>
      </c>
      <c r="L102">
        <v>6.0592550000000003</v>
      </c>
      <c r="M102">
        <v>0</v>
      </c>
    </row>
    <row r="103" spans="1:13" x14ac:dyDescent="0.25">
      <c r="A103">
        <v>101</v>
      </c>
      <c r="B103" t="s">
        <v>75</v>
      </c>
      <c r="C103">
        <v>1305</v>
      </c>
      <c r="D103">
        <v>89456</v>
      </c>
      <c r="E103" t="s">
        <v>129</v>
      </c>
      <c r="F103" t="s">
        <v>79</v>
      </c>
      <c r="G103">
        <v>59175</v>
      </c>
      <c r="H103">
        <v>59100</v>
      </c>
      <c r="I103">
        <v>118275</v>
      </c>
      <c r="J103">
        <v>334063.92352100002</v>
      </c>
      <c r="K103">
        <v>1168679.6583700001</v>
      </c>
      <c r="L103">
        <v>14.588177</v>
      </c>
      <c r="M103">
        <v>0</v>
      </c>
    </row>
    <row r="104" spans="1:13" x14ac:dyDescent="0.25">
      <c r="A104">
        <v>102</v>
      </c>
      <c r="B104" t="s">
        <v>75</v>
      </c>
      <c r="C104">
        <v>1550</v>
      </c>
      <c r="D104">
        <v>190631</v>
      </c>
      <c r="E104" t="s">
        <v>131</v>
      </c>
      <c r="F104" t="s">
        <v>83</v>
      </c>
      <c r="G104">
        <v>121853</v>
      </c>
      <c r="H104">
        <v>123941</v>
      </c>
      <c r="I104">
        <v>245794</v>
      </c>
      <c r="J104">
        <v>364865.20854100003</v>
      </c>
      <c r="K104">
        <v>1166329.8987400001</v>
      </c>
      <c r="L104">
        <v>8.1308919999999993</v>
      </c>
      <c r="M104">
        <v>0</v>
      </c>
    </row>
    <row r="105" spans="1:13" x14ac:dyDescent="0.25">
      <c r="A105">
        <v>103</v>
      </c>
      <c r="B105" t="s">
        <v>75</v>
      </c>
      <c r="C105">
        <v>1120</v>
      </c>
      <c r="D105">
        <v>99840</v>
      </c>
      <c r="E105" t="s">
        <v>132</v>
      </c>
      <c r="F105" t="s">
        <v>83</v>
      </c>
      <c r="G105">
        <v>64481</v>
      </c>
      <c r="H105">
        <v>64322</v>
      </c>
      <c r="I105">
        <v>128803</v>
      </c>
      <c r="J105">
        <v>389923.56077699998</v>
      </c>
      <c r="K105">
        <v>1161204.14533</v>
      </c>
      <c r="L105">
        <v>11.217949000000001</v>
      </c>
      <c r="M105">
        <v>0</v>
      </c>
    </row>
    <row r="106" spans="1:13" x14ac:dyDescent="0.25">
      <c r="A106">
        <v>104</v>
      </c>
      <c r="B106" t="s">
        <v>75</v>
      </c>
      <c r="C106">
        <v>984</v>
      </c>
      <c r="D106">
        <v>120914</v>
      </c>
      <c r="E106" t="s">
        <v>133</v>
      </c>
      <c r="F106" t="s">
        <v>83</v>
      </c>
      <c r="G106">
        <v>79036</v>
      </c>
      <c r="H106">
        <v>80478</v>
      </c>
      <c r="I106">
        <v>159514</v>
      </c>
      <c r="J106">
        <v>412181.13481199997</v>
      </c>
      <c r="K106">
        <v>1155891.64414</v>
      </c>
      <c r="L106">
        <v>8.1380149999999993</v>
      </c>
      <c r="M106">
        <v>0</v>
      </c>
    </row>
    <row r="107" spans="1:13" x14ac:dyDescent="0.25">
      <c r="A107">
        <v>105</v>
      </c>
      <c r="B107" t="s">
        <v>75</v>
      </c>
      <c r="C107">
        <v>1363</v>
      </c>
      <c r="D107">
        <v>188472</v>
      </c>
      <c r="E107" t="s">
        <v>130</v>
      </c>
      <c r="F107" t="s">
        <v>83</v>
      </c>
      <c r="G107">
        <v>121412</v>
      </c>
      <c r="H107">
        <v>123447</v>
      </c>
      <c r="I107">
        <v>244859</v>
      </c>
      <c r="J107">
        <v>343054.16040300002</v>
      </c>
      <c r="K107">
        <v>1155330.66613</v>
      </c>
      <c r="L107">
        <v>7.2318429999999996</v>
      </c>
      <c r="M107">
        <v>0</v>
      </c>
    </row>
    <row r="108" spans="1:13" x14ac:dyDescent="0.25">
      <c r="A108">
        <v>106</v>
      </c>
      <c r="B108" t="s">
        <v>75</v>
      </c>
      <c r="C108">
        <v>1313</v>
      </c>
      <c r="D108">
        <v>214714</v>
      </c>
      <c r="E108" t="s">
        <v>126</v>
      </c>
      <c r="F108" t="s">
        <v>79</v>
      </c>
      <c r="G108">
        <v>139627</v>
      </c>
      <c r="H108">
        <v>141683</v>
      </c>
      <c r="I108">
        <v>281310</v>
      </c>
      <c r="J108">
        <v>265829.66266799998</v>
      </c>
      <c r="K108">
        <v>1153785.58088</v>
      </c>
      <c r="L108">
        <v>6.1151109999999997</v>
      </c>
      <c r="M108">
        <v>0</v>
      </c>
    </row>
    <row r="109" spans="1:13" x14ac:dyDescent="0.25">
      <c r="A109">
        <v>107</v>
      </c>
      <c r="B109" t="s">
        <v>75</v>
      </c>
      <c r="C109">
        <v>1288</v>
      </c>
      <c r="D109">
        <v>190631</v>
      </c>
      <c r="E109" t="s">
        <v>131</v>
      </c>
      <c r="F109" t="s">
        <v>83</v>
      </c>
      <c r="G109">
        <v>121853</v>
      </c>
      <c r="H109">
        <v>123941</v>
      </c>
      <c r="I109">
        <v>245794</v>
      </c>
      <c r="J109">
        <v>374827.77947800001</v>
      </c>
      <c r="K109">
        <v>1153312.5608999999</v>
      </c>
      <c r="L109">
        <v>6.7565090000000003</v>
      </c>
      <c r="M109">
        <v>0</v>
      </c>
    </row>
    <row r="110" spans="1:13" x14ac:dyDescent="0.25">
      <c r="A110">
        <v>108</v>
      </c>
      <c r="B110" t="s">
        <v>75</v>
      </c>
      <c r="C110">
        <v>1374</v>
      </c>
      <c r="D110">
        <v>214714</v>
      </c>
      <c r="E110" t="s">
        <v>126</v>
      </c>
      <c r="F110" t="s">
        <v>79</v>
      </c>
      <c r="G110">
        <v>139627</v>
      </c>
      <c r="H110">
        <v>141683</v>
      </c>
      <c r="I110">
        <v>281310</v>
      </c>
      <c r="J110">
        <v>285705.33143299998</v>
      </c>
      <c r="K110">
        <v>1150765.1971100001</v>
      </c>
      <c r="L110">
        <v>6.3992100000000001</v>
      </c>
      <c r="M110">
        <v>0</v>
      </c>
    </row>
    <row r="111" spans="1:13" x14ac:dyDescent="0.25">
      <c r="A111">
        <v>109</v>
      </c>
      <c r="B111" t="s">
        <v>75</v>
      </c>
      <c r="C111">
        <v>1360</v>
      </c>
      <c r="D111">
        <v>188472</v>
      </c>
      <c r="E111" t="s">
        <v>130</v>
      </c>
      <c r="F111" t="s">
        <v>83</v>
      </c>
      <c r="G111">
        <v>121412</v>
      </c>
      <c r="H111">
        <v>123447</v>
      </c>
      <c r="I111">
        <v>244859</v>
      </c>
      <c r="J111">
        <v>342771.72117400001</v>
      </c>
      <c r="K111">
        <v>1150425.54532</v>
      </c>
      <c r="L111">
        <v>7.2159259999999996</v>
      </c>
      <c r="M111">
        <v>0</v>
      </c>
    </row>
    <row r="112" spans="1:13" x14ac:dyDescent="0.25">
      <c r="A112">
        <v>110</v>
      </c>
      <c r="B112" t="s">
        <v>75</v>
      </c>
      <c r="C112">
        <v>1383</v>
      </c>
      <c r="D112">
        <v>89456</v>
      </c>
      <c r="E112" t="s">
        <v>129</v>
      </c>
      <c r="F112" t="s">
        <v>79</v>
      </c>
      <c r="G112">
        <v>59175</v>
      </c>
      <c r="H112">
        <v>59100</v>
      </c>
      <c r="I112">
        <v>118275</v>
      </c>
      <c r="J112">
        <v>304008.31541899999</v>
      </c>
      <c r="K112">
        <v>1149589.81351</v>
      </c>
      <c r="L112">
        <v>15.460114000000001</v>
      </c>
      <c r="M112">
        <v>0</v>
      </c>
    </row>
    <row r="113" spans="1:13" x14ac:dyDescent="0.25">
      <c r="A113">
        <v>111</v>
      </c>
      <c r="B113" t="s">
        <v>75</v>
      </c>
      <c r="C113">
        <v>1149</v>
      </c>
      <c r="D113">
        <v>99840</v>
      </c>
      <c r="E113" t="s">
        <v>132</v>
      </c>
      <c r="F113" t="s">
        <v>83</v>
      </c>
      <c r="G113">
        <v>64481</v>
      </c>
      <c r="H113">
        <v>64322</v>
      </c>
      <c r="I113">
        <v>128803</v>
      </c>
      <c r="J113">
        <v>396811.989458</v>
      </c>
      <c r="K113">
        <v>1149497.9030899999</v>
      </c>
      <c r="L113">
        <v>11.508412999999999</v>
      </c>
      <c r="M113">
        <v>0</v>
      </c>
    </row>
    <row r="114" spans="1:13" x14ac:dyDescent="0.25">
      <c r="A114">
        <v>112</v>
      </c>
      <c r="B114" t="s">
        <v>75</v>
      </c>
      <c r="C114">
        <v>1320</v>
      </c>
      <c r="D114">
        <v>190631</v>
      </c>
      <c r="E114" t="s">
        <v>134</v>
      </c>
      <c r="F114" t="s">
        <v>83</v>
      </c>
      <c r="G114">
        <v>39525</v>
      </c>
      <c r="H114">
        <v>38663</v>
      </c>
      <c r="I114">
        <v>78188</v>
      </c>
      <c r="J114">
        <v>360646.23516400001</v>
      </c>
      <c r="K114">
        <v>1143093.29449</v>
      </c>
      <c r="L114">
        <v>6.924372</v>
      </c>
      <c r="M114">
        <v>0</v>
      </c>
    </row>
    <row r="115" spans="1:13" x14ac:dyDescent="0.25">
      <c r="A115">
        <v>113</v>
      </c>
      <c r="B115" t="s">
        <v>75</v>
      </c>
      <c r="C115">
        <v>963</v>
      </c>
      <c r="D115">
        <v>120914</v>
      </c>
      <c r="E115" t="s">
        <v>133</v>
      </c>
      <c r="F115" t="s">
        <v>83</v>
      </c>
      <c r="G115">
        <v>79036</v>
      </c>
      <c r="H115">
        <v>80478</v>
      </c>
      <c r="I115">
        <v>159514</v>
      </c>
      <c r="J115">
        <v>405572.48081099999</v>
      </c>
      <c r="K115">
        <v>1142828.53119</v>
      </c>
      <c r="L115">
        <v>7.9643379999999997</v>
      </c>
      <c r="M115">
        <v>0</v>
      </c>
    </row>
    <row r="116" spans="1:13" x14ac:dyDescent="0.25">
      <c r="A116">
        <v>114</v>
      </c>
      <c r="B116" t="s">
        <v>75</v>
      </c>
      <c r="C116">
        <v>1386</v>
      </c>
      <c r="D116">
        <v>188472</v>
      </c>
      <c r="E116" t="s">
        <v>130</v>
      </c>
      <c r="F116" t="s">
        <v>83</v>
      </c>
      <c r="G116">
        <v>121412</v>
      </c>
      <c r="H116">
        <v>123447</v>
      </c>
      <c r="I116">
        <v>244859</v>
      </c>
      <c r="J116">
        <v>331512.13179800002</v>
      </c>
      <c r="K116">
        <v>1139069.68426</v>
      </c>
      <c r="L116">
        <v>7.3538769999999998</v>
      </c>
      <c r="M116">
        <v>0</v>
      </c>
    </row>
    <row r="117" spans="1:13" x14ac:dyDescent="0.25">
      <c r="A117">
        <v>115</v>
      </c>
      <c r="B117" t="s">
        <v>75</v>
      </c>
      <c r="C117">
        <v>1238</v>
      </c>
      <c r="D117">
        <v>190631</v>
      </c>
      <c r="E117" t="s">
        <v>131</v>
      </c>
      <c r="F117" t="s">
        <v>83</v>
      </c>
      <c r="G117">
        <v>121853</v>
      </c>
      <c r="H117">
        <v>123941</v>
      </c>
      <c r="I117">
        <v>245794</v>
      </c>
      <c r="J117">
        <v>363262.79414700001</v>
      </c>
      <c r="K117">
        <v>1139025.7967900001</v>
      </c>
      <c r="L117">
        <v>6.4942219999999997</v>
      </c>
      <c r="M117">
        <v>0</v>
      </c>
    </row>
    <row r="118" spans="1:13" x14ac:dyDescent="0.25">
      <c r="A118">
        <v>116</v>
      </c>
      <c r="B118" t="s">
        <v>75</v>
      </c>
      <c r="C118">
        <v>1155</v>
      </c>
      <c r="D118">
        <v>142830</v>
      </c>
      <c r="E118" t="s">
        <v>135</v>
      </c>
      <c r="F118" t="s">
        <v>83</v>
      </c>
      <c r="G118">
        <v>92016</v>
      </c>
      <c r="H118">
        <v>94025</v>
      </c>
      <c r="I118">
        <v>186041</v>
      </c>
      <c r="J118">
        <v>383319.83905299997</v>
      </c>
      <c r="K118">
        <v>1132774.4200800001</v>
      </c>
      <c r="L118">
        <v>8.0865360000000006</v>
      </c>
      <c r="M118">
        <v>0</v>
      </c>
    </row>
    <row r="119" spans="1:13" x14ac:dyDescent="0.25">
      <c r="A119">
        <v>117</v>
      </c>
      <c r="B119" t="s">
        <v>75</v>
      </c>
      <c r="C119">
        <v>977</v>
      </c>
      <c r="D119">
        <v>87469</v>
      </c>
      <c r="E119" t="s">
        <v>136</v>
      </c>
      <c r="F119" t="s">
        <v>83</v>
      </c>
      <c r="G119">
        <v>55650</v>
      </c>
      <c r="H119">
        <v>59383</v>
      </c>
      <c r="I119">
        <v>115033</v>
      </c>
      <c r="J119">
        <v>413564.87854300003</v>
      </c>
      <c r="K119">
        <v>1132728.28715</v>
      </c>
      <c r="L119">
        <v>11.169672</v>
      </c>
      <c r="M119">
        <v>0</v>
      </c>
    </row>
    <row r="120" spans="1:13" x14ac:dyDescent="0.25">
      <c r="A120">
        <v>118</v>
      </c>
      <c r="B120" t="s">
        <v>75</v>
      </c>
      <c r="C120">
        <v>1058</v>
      </c>
      <c r="D120">
        <v>87469</v>
      </c>
      <c r="E120" t="s">
        <v>136</v>
      </c>
      <c r="F120" t="s">
        <v>83</v>
      </c>
      <c r="G120">
        <v>55650</v>
      </c>
      <c r="H120">
        <v>59383</v>
      </c>
      <c r="I120">
        <v>115033</v>
      </c>
      <c r="J120">
        <v>406433.91304499999</v>
      </c>
      <c r="K120">
        <v>1123891.54544</v>
      </c>
      <c r="L120">
        <v>12.095713999999999</v>
      </c>
      <c r="M120">
        <v>0</v>
      </c>
    </row>
    <row r="121" spans="1:13" x14ac:dyDescent="0.25">
      <c r="A121">
        <v>119</v>
      </c>
      <c r="B121" t="s">
        <v>75</v>
      </c>
      <c r="C121">
        <v>1225</v>
      </c>
      <c r="D121">
        <v>112707</v>
      </c>
      <c r="E121" t="s">
        <v>137</v>
      </c>
      <c r="F121" t="s">
        <v>83</v>
      </c>
      <c r="G121">
        <v>72152</v>
      </c>
      <c r="H121">
        <v>73708</v>
      </c>
      <c r="I121">
        <v>145860</v>
      </c>
      <c r="J121">
        <v>363407.95439199999</v>
      </c>
      <c r="K121">
        <v>1120926.00248</v>
      </c>
      <c r="L121">
        <v>10.86889</v>
      </c>
      <c r="M121">
        <v>0</v>
      </c>
    </row>
    <row r="122" spans="1:13" x14ac:dyDescent="0.25">
      <c r="A122">
        <v>120</v>
      </c>
      <c r="B122" t="s">
        <v>75</v>
      </c>
      <c r="C122">
        <v>1073</v>
      </c>
      <c r="D122">
        <v>112707</v>
      </c>
      <c r="E122" t="s">
        <v>137</v>
      </c>
      <c r="F122" t="s">
        <v>83</v>
      </c>
      <c r="G122">
        <v>72152</v>
      </c>
      <c r="H122">
        <v>73708</v>
      </c>
      <c r="I122">
        <v>145860</v>
      </c>
      <c r="J122">
        <v>367349.43475499999</v>
      </c>
      <c r="K122">
        <v>1103212.9469099999</v>
      </c>
      <c r="L122">
        <v>9.5202600000000004</v>
      </c>
      <c r="M122">
        <v>0</v>
      </c>
    </row>
    <row r="123" spans="1:13" x14ac:dyDescent="0.25">
      <c r="A123">
        <v>121</v>
      </c>
      <c r="B123" t="s">
        <v>75</v>
      </c>
      <c r="C123">
        <v>13</v>
      </c>
      <c r="D123">
        <v>0</v>
      </c>
      <c r="E123">
        <v>-100</v>
      </c>
      <c r="F123">
        <v>54913</v>
      </c>
      <c r="G123">
        <v>0</v>
      </c>
      <c r="H123">
        <v>0</v>
      </c>
      <c r="I123">
        <v>40038</v>
      </c>
      <c r="J123">
        <v>33875</v>
      </c>
      <c r="K123">
        <v>73913</v>
      </c>
      <c r="L123">
        <v>191341.99912399999</v>
      </c>
      <c r="M123">
        <v>1431499.9137800001</v>
      </c>
    </row>
    <row r="124" spans="1:13" x14ac:dyDescent="0.25">
      <c r="A124">
        <v>122</v>
      </c>
      <c r="B124" t="s">
        <v>75</v>
      </c>
      <c r="C124">
        <v>0</v>
      </c>
      <c r="D124">
        <v>0</v>
      </c>
      <c r="E124" t="s">
        <v>64</v>
      </c>
      <c r="F124" t="s">
        <v>65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>
        <v>123</v>
      </c>
      <c r="B125" t="s">
        <v>75</v>
      </c>
      <c r="C125">
        <v>0</v>
      </c>
      <c r="D125">
        <v>0</v>
      </c>
      <c r="E125" t="s">
        <v>92</v>
      </c>
      <c r="F125" t="s">
        <v>92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4" workbookViewId="0">
      <selection activeCell="A12" sqref="A12"/>
    </sheetView>
  </sheetViews>
  <sheetFormatPr defaultRowHeight="15" x14ac:dyDescent="0.25"/>
  <cols>
    <col min="1" max="1" width="22.85546875" customWidth="1"/>
    <col min="2" max="2" width="50.85546875" customWidth="1"/>
    <col min="3" max="3" width="21.42578125" customWidth="1"/>
  </cols>
  <sheetData>
    <row r="1" spans="1:6" ht="15.6" thickBot="1" x14ac:dyDescent="0.4">
      <c r="A1" s="2" t="s">
        <v>8</v>
      </c>
      <c r="B1" s="3" t="s">
        <v>9</v>
      </c>
      <c r="C1" s="3" t="s">
        <v>10</v>
      </c>
      <c r="D1" s="6" t="s">
        <v>39</v>
      </c>
      <c r="E1" s="6" t="s">
        <v>40</v>
      </c>
      <c r="F1" s="6" t="s">
        <v>41</v>
      </c>
    </row>
    <row r="2" spans="1:6" ht="15.6" thickBot="1" x14ac:dyDescent="0.4">
      <c r="A2" s="8" t="s">
        <v>11</v>
      </c>
      <c r="B2" s="9"/>
      <c r="C2" s="10"/>
    </row>
    <row r="3" spans="1:6" ht="15.95" thickBot="1" x14ac:dyDescent="0.4">
      <c r="A3" s="4" t="s">
        <v>12</v>
      </c>
      <c r="B3" s="5" t="s">
        <v>13</v>
      </c>
      <c r="C3" s="5" t="s">
        <v>14</v>
      </c>
    </row>
    <row r="4" spans="1:6" ht="32.25" thickBot="1" x14ac:dyDescent="0.3">
      <c r="A4" s="4" t="s">
        <v>15</v>
      </c>
      <c r="B4" s="5" t="s">
        <v>16</v>
      </c>
      <c r="C4" s="5"/>
    </row>
    <row r="5" spans="1:6" ht="16.5" thickBot="1" x14ac:dyDescent="0.3">
      <c r="A5" s="4" t="s">
        <v>17</v>
      </c>
      <c r="B5" s="5" t="s">
        <v>18</v>
      </c>
      <c r="C5" s="5" t="s">
        <v>19</v>
      </c>
    </row>
    <row r="6" spans="1:6" ht="31.5" thickBot="1" x14ac:dyDescent="0.4">
      <c r="A6" s="4" t="s">
        <v>20</v>
      </c>
      <c r="B6" s="5" t="s">
        <v>21</v>
      </c>
      <c r="C6" s="5" t="s">
        <v>19</v>
      </c>
    </row>
    <row r="7" spans="1:6" ht="31.5" thickBot="1" x14ac:dyDescent="0.4">
      <c r="A7" s="4" t="s">
        <v>22</v>
      </c>
      <c r="B7" s="5" t="s">
        <v>23</v>
      </c>
      <c r="C7" s="5" t="s">
        <v>19</v>
      </c>
    </row>
    <row r="8" spans="1:6" ht="15.6" thickBot="1" x14ac:dyDescent="0.4">
      <c r="A8" s="8" t="s">
        <v>24</v>
      </c>
      <c r="B8" s="9"/>
      <c r="C8" s="10"/>
    </row>
    <row r="9" spans="1:6" ht="18.95" thickBot="1" x14ac:dyDescent="0.4">
      <c r="A9" s="4" t="s">
        <v>25</v>
      </c>
      <c r="B9" s="5" t="s">
        <v>26</v>
      </c>
      <c r="C9" s="5" t="s">
        <v>27</v>
      </c>
    </row>
    <row r="10" spans="1:6" ht="15.95" thickBot="1" x14ac:dyDescent="0.4">
      <c r="A10" s="4" t="s">
        <v>28</v>
      </c>
      <c r="B10" s="5" t="s">
        <v>29</v>
      </c>
      <c r="C10" s="5" t="s">
        <v>27</v>
      </c>
    </row>
    <row r="11" spans="1:6" ht="18.95" thickBot="1" x14ac:dyDescent="0.4">
      <c r="A11" s="4" t="s">
        <v>30</v>
      </c>
      <c r="B11" s="5" t="s">
        <v>31</v>
      </c>
      <c r="C11" s="5"/>
    </row>
    <row r="12" spans="1:6" ht="32.25" thickBot="1" x14ac:dyDescent="0.3">
      <c r="A12" s="4" t="s">
        <v>32</v>
      </c>
      <c r="B12" s="5" t="s">
        <v>33</v>
      </c>
      <c r="C12" s="5" t="s">
        <v>34</v>
      </c>
    </row>
    <row r="13" spans="1:6" ht="31.5" thickBot="1" x14ac:dyDescent="0.4">
      <c r="A13" s="4" t="s">
        <v>35</v>
      </c>
      <c r="B13" s="5" t="s">
        <v>36</v>
      </c>
      <c r="C13" s="5" t="s">
        <v>27</v>
      </c>
    </row>
    <row r="14" spans="1:6" ht="32.25" thickBot="1" x14ac:dyDescent="0.3">
      <c r="A14" s="4" t="s">
        <v>37</v>
      </c>
      <c r="B14" s="5" t="s">
        <v>38</v>
      </c>
      <c r="C14" s="5"/>
    </row>
  </sheetData>
  <mergeCells count="2">
    <mergeCell ref="A2:C2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19"/>
  <sheetViews>
    <sheetView tabSelected="1" workbookViewId="0">
      <selection activeCell="G10" sqref="G10"/>
    </sheetView>
  </sheetViews>
  <sheetFormatPr defaultRowHeight="15" x14ac:dyDescent="0.25"/>
  <cols>
    <col min="1" max="1" width="7.140625" customWidth="1"/>
    <col min="2" max="3" width="8.7109375" customWidth="1"/>
    <col min="4" max="4" width="8.42578125" customWidth="1"/>
    <col min="5" max="5" width="11.85546875" customWidth="1"/>
    <col min="6" max="6" width="10.5703125" customWidth="1"/>
    <col min="7" max="7" width="10.28515625" customWidth="1"/>
    <col min="8" max="8" width="12.140625" customWidth="1"/>
    <col min="9" max="9" width="12.7109375" customWidth="1"/>
    <col min="10" max="10" width="7.7109375" customWidth="1"/>
    <col min="11" max="11" width="9.28515625" style="1" customWidth="1"/>
    <col min="12" max="12" width="10.5703125" customWidth="1"/>
    <col min="13" max="13" width="9" style="1" customWidth="1"/>
    <col min="14" max="14" width="12.140625" customWidth="1"/>
    <col min="15" max="15" width="9.42578125" customWidth="1"/>
    <col min="17" max="17" width="9.5703125" customWidth="1"/>
    <col min="19" max="19" width="10.7109375" customWidth="1"/>
    <col min="20" max="20" width="13.7109375" customWidth="1"/>
    <col min="23" max="23" width="11.140625" customWidth="1"/>
    <col min="24" max="24" width="10.85546875" customWidth="1"/>
    <col min="28" max="28" width="17.85546875" customWidth="1"/>
    <col min="32" max="32" width="19.140625" customWidth="1"/>
  </cols>
  <sheetData>
    <row r="2" spans="2:33" ht="8.25" customHeight="1" x14ac:dyDescent="0.25"/>
    <row r="3" spans="2:33" s="16" customFormat="1" ht="90" x14ac:dyDescent="0.25">
      <c r="B3" s="14" t="s">
        <v>139</v>
      </c>
      <c r="C3" s="14" t="s">
        <v>138</v>
      </c>
      <c r="D3" s="15" t="s">
        <v>57</v>
      </c>
      <c r="E3" s="13" t="s">
        <v>28</v>
      </c>
      <c r="F3" s="15" t="s">
        <v>147</v>
      </c>
      <c r="G3" s="13" t="s">
        <v>56</v>
      </c>
      <c r="H3" s="15" t="s">
        <v>58</v>
      </c>
      <c r="I3" s="13" t="s">
        <v>59</v>
      </c>
      <c r="J3" s="15" t="s">
        <v>61</v>
      </c>
      <c r="K3" s="15" t="s">
        <v>60</v>
      </c>
      <c r="L3" s="15" t="s">
        <v>62</v>
      </c>
      <c r="M3" s="15" t="s">
        <v>145</v>
      </c>
      <c r="N3" s="15" t="s">
        <v>144</v>
      </c>
      <c r="O3" s="15" t="s">
        <v>146</v>
      </c>
    </row>
    <row r="4" spans="2:33" x14ac:dyDescent="0.25">
      <c r="B4" s="11">
        <v>8</v>
      </c>
      <c r="C4" s="11" t="s">
        <v>53</v>
      </c>
      <c r="D4" s="12">
        <v>1984</v>
      </c>
      <c r="E4" s="12">
        <v>350</v>
      </c>
      <c r="F4" s="19">
        <v>2946.4964810000001</v>
      </c>
      <c r="G4" s="18">
        <f>F4/D4</f>
        <v>1.4851292746975806</v>
      </c>
      <c r="H4" s="18">
        <v>145829</v>
      </c>
      <c r="I4" s="18">
        <f>H4/D4</f>
        <v>73.50252016129032</v>
      </c>
      <c r="J4" s="18">
        <v>75.194107000000002</v>
      </c>
      <c r="K4" s="20">
        <f>D4/(J4*J4)</f>
        <v>0.35089247579895555</v>
      </c>
      <c r="L4" s="18">
        <f>(2*SQRT(D4/3.14))/J4</f>
        <v>0.66857818126025337</v>
      </c>
      <c r="M4" s="20">
        <v>1359</v>
      </c>
      <c r="N4" s="18">
        <f>M4/J4</f>
        <v>18.073224807364227</v>
      </c>
      <c r="O4" s="18">
        <f>M4*G4</f>
        <v>2018.290684314012</v>
      </c>
    </row>
    <row r="5" spans="2:33" x14ac:dyDescent="0.25">
      <c r="B5" s="11">
        <v>9</v>
      </c>
      <c r="C5" s="11" t="s">
        <v>54</v>
      </c>
      <c r="D5" s="12">
        <v>443</v>
      </c>
      <c r="E5" s="12">
        <v>140</v>
      </c>
      <c r="F5" s="19">
        <v>638.71189200000003</v>
      </c>
      <c r="G5" s="18">
        <f>F5/D5</f>
        <v>1.4417875665914222</v>
      </c>
      <c r="H5" s="18">
        <v>31470</v>
      </c>
      <c r="I5" s="18">
        <f t="shared" ref="I5:I6" si="0">H5/D5</f>
        <v>71.038374717832951</v>
      </c>
      <c r="J5" s="18">
        <v>47.360317999999999</v>
      </c>
      <c r="K5" s="20">
        <f t="shared" ref="K5:K6" si="1">D5/(J5*J5)</f>
        <v>0.19750336829753345</v>
      </c>
      <c r="L5" s="18">
        <f t="shared" ref="L5:L6" si="2">(2*SQRT(D5/3.14))/J5</f>
        <v>0.50159410633776536</v>
      </c>
      <c r="M5" s="20">
        <v>1649</v>
      </c>
      <c r="N5" s="18">
        <f t="shared" ref="N5:N6" si="3">M5/J5</f>
        <v>34.818178374562436</v>
      </c>
      <c r="O5" s="18">
        <f t="shared" ref="O5:O6" si="4">M5*G5</f>
        <v>2377.507697309255</v>
      </c>
    </row>
    <row r="6" spans="2:33" x14ac:dyDescent="0.25">
      <c r="B6" s="11">
        <v>11</v>
      </c>
      <c r="C6" s="11" t="s">
        <v>55</v>
      </c>
      <c r="D6" s="12">
        <v>951</v>
      </c>
      <c r="E6" s="12">
        <v>178</v>
      </c>
      <c r="F6" s="19">
        <v>1487.5948430000001</v>
      </c>
      <c r="G6" s="18">
        <f>F6/D6</f>
        <v>1.5642427371188223</v>
      </c>
      <c r="H6" s="18">
        <v>73652</v>
      </c>
      <c r="I6" s="18">
        <f t="shared" si="0"/>
        <v>77.446898002103055</v>
      </c>
      <c r="J6" s="18">
        <v>38.027293</v>
      </c>
      <c r="K6" s="20">
        <f t="shared" si="1"/>
        <v>0.65764223260291022</v>
      </c>
      <c r="L6" s="18">
        <f t="shared" si="2"/>
        <v>0.91529274325954302</v>
      </c>
      <c r="M6" s="20">
        <v>1216</v>
      </c>
      <c r="N6" s="18">
        <f t="shared" si="3"/>
        <v>31.977032916857901</v>
      </c>
      <c r="O6" s="18">
        <f t="shared" si="4"/>
        <v>1902.119168336488</v>
      </c>
      <c r="R6" t="s">
        <v>52</v>
      </c>
    </row>
    <row r="7" spans="2:33" x14ac:dyDescent="0.25">
      <c r="D7">
        <f>SUM(D4:D6)</f>
        <v>3378</v>
      </c>
    </row>
    <row r="8" spans="2:33" x14ac:dyDescent="0.25">
      <c r="Q8" t="s">
        <v>0</v>
      </c>
      <c r="R8" t="s">
        <v>1</v>
      </c>
      <c r="S8" s="7" t="s">
        <v>42</v>
      </c>
      <c r="T8" t="s">
        <v>43</v>
      </c>
      <c r="U8" t="s">
        <v>2</v>
      </c>
      <c r="V8" t="s">
        <v>140</v>
      </c>
      <c r="W8" t="s">
        <v>3</v>
      </c>
      <c r="X8" t="s">
        <v>4</v>
      </c>
      <c r="Y8" t="s">
        <v>5</v>
      </c>
      <c r="AA8" t="s">
        <v>44</v>
      </c>
      <c r="AB8" t="s">
        <v>45</v>
      </c>
      <c r="AC8" t="s">
        <v>46</v>
      </c>
      <c r="AD8" t="s">
        <v>47</v>
      </c>
      <c r="AE8" t="s">
        <v>48</v>
      </c>
      <c r="AF8" s="7" t="s">
        <v>49</v>
      </c>
      <c r="AG8" t="s">
        <v>50</v>
      </c>
    </row>
    <row r="9" spans="2:33" ht="15.75" x14ac:dyDescent="0.25">
      <c r="H9" s="17"/>
      <c r="Q9">
        <v>1</v>
      </c>
      <c r="R9" t="s">
        <v>7</v>
      </c>
      <c r="S9" s="7">
        <v>145829</v>
      </c>
      <c r="T9">
        <v>4</v>
      </c>
      <c r="U9">
        <v>2946496</v>
      </c>
      <c r="V9">
        <v>8</v>
      </c>
      <c r="W9">
        <v>1</v>
      </c>
      <c r="X9" s="7">
        <v>1984</v>
      </c>
      <c r="Y9" s="7">
        <v>350</v>
      </c>
      <c r="Z9" s="7"/>
      <c r="AA9">
        <v>396</v>
      </c>
      <c r="AB9">
        <v>2946496.4810000001</v>
      </c>
      <c r="AC9" t="s">
        <v>51</v>
      </c>
      <c r="AD9">
        <v>133410</v>
      </c>
      <c r="AE9">
        <v>1</v>
      </c>
      <c r="AF9" s="7">
        <v>2946496.4805100001</v>
      </c>
      <c r="AG9" s="7">
        <v>145829</v>
      </c>
    </row>
    <row r="10" spans="2:33" x14ac:dyDescent="0.25">
      <c r="Q10">
        <v>2</v>
      </c>
      <c r="R10" t="s">
        <v>7</v>
      </c>
      <c r="S10" s="7">
        <v>31470</v>
      </c>
      <c r="T10">
        <v>5</v>
      </c>
      <c r="U10">
        <v>638712</v>
      </c>
      <c r="V10">
        <v>9</v>
      </c>
      <c r="W10">
        <v>2</v>
      </c>
      <c r="X10" s="7">
        <v>443</v>
      </c>
      <c r="Y10" s="7">
        <v>140</v>
      </c>
      <c r="Z10" s="7"/>
      <c r="AA10">
        <v>166</v>
      </c>
      <c r="AB10">
        <v>638711.89199999999</v>
      </c>
      <c r="AC10" t="s">
        <v>51</v>
      </c>
      <c r="AD10">
        <v>491473</v>
      </c>
      <c r="AE10">
        <v>1</v>
      </c>
      <c r="AF10" s="7">
        <v>638711.89174400002</v>
      </c>
      <c r="AG10" s="7">
        <v>31470</v>
      </c>
    </row>
    <row r="11" spans="2:33" x14ac:dyDescent="0.25">
      <c r="Q11">
        <v>3</v>
      </c>
      <c r="R11" t="s">
        <v>7</v>
      </c>
      <c r="S11" s="7">
        <v>73652</v>
      </c>
      <c r="T11">
        <v>6</v>
      </c>
      <c r="U11">
        <v>1487595</v>
      </c>
      <c r="V11">
        <v>11</v>
      </c>
      <c r="W11">
        <v>9</v>
      </c>
      <c r="X11" s="7">
        <v>951</v>
      </c>
      <c r="Y11" s="7">
        <v>178</v>
      </c>
      <c r="Z11" s="7"/>
      <c r="AA11">
        <v>269</v>
      </c>
      <c r="AB11">
        <v>1487594.8430000001</v>
      </c>
      <c r="AC11" t="s">
        <v>51</v>
      </c>
      <c r="AD11">
        <v>509544</v>
      </c>
      <c r="AE11">
        <v>1</v>
      </c>
      <c r="AF11" s="7">
        <v>1487594.843173</v>
      </c>
      <c r="AG11" s="7">
        <v>73652</v>
      </c>
    </row>
    <row r="16" spans="2:33" x14ac:dyDescent="0.25">
      <c r="X16" t="s">
        <v>0</v>
      </c>
      <c r="Y16" t="s">
        <v>141</v>
      </c>
      <c r="Z16" t="s">
        <v>6</v>
      </c>
      <c r="AA16" t="s">
        <v>142</v>
      </c>
      <c r="AB16" t="s">
        <v>143</v>
      </c>
    </row>
    <row r="17" spans="24:28" x14ac:dyDescent="0.25">
      <c r="X17">
        <v>1</v>
      </c>
      <c r="Y17">
        <v>8</v>
      </c>
      <c r="Z17">
        <v>2308901</v>
      </c>
      <c r="AA17">
        <v>1984306736.91798</v>
      </c>
      <c r="AB17">
        <v>1359</v>
      </c>
    </row>
    <row r="18" spans="24:28" x14ac:dyDescent="0.25">
      <c r="AB18">
        <v>1649</v>
      </c>
    </row>
    <row r="19" spans="24:28" x14ac:dyDescent="0.25">
      <c r="AB19">
        <v>1216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Parameterfourmulas</vt:lpstr>
      <vt:lpstr>ArealMorphometricParameters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</dc:creator>
  <cp:lastModifiedBy>Moke</cp:lastModifiedBy>
  <dcterms:created xsi:type="dcterms:W3CDTF">2026-06-12T03:33:50Z</dcterms:created>
  <dcterms:modified xsi:type="dcterms:W3CDTF">2026-06-28T06:31:16Z</dcterms:modified>
</cp:coreProperties>
</file>